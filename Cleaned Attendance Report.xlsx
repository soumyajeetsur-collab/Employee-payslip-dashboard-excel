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487A0A-26AD-4E4D-92EC-82CFF48321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Sheet2!$A$1:$F$601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4" i="1" l="1"/>
  <c r="BQ5" i="1"/>
  <c r="BQ6" i="1"/>
  <c r="BQ7" i="1"/>
  <c r="BQ8" i="1"/>
  <c r="BQ9" i="1"/>
  <c r="BQ10" i="1"/>
  <c r="BQ11" i="1"/>
  <c r="BQ12" i="1"/>
  <c r="BQ13" i="1"/>
  <c r="BQ14" i="1"/>
  <c r="BQ15" i="1"/>
  <c r="BQ16" i="1"/>
  <c r="BS16" i="1" s="1"/>
  <c r="BQ17" i="1"/>
  <c r="BS17" i="1" s="1"/>
  <c r="BQ18" i="1"/>
  <c r="BS18" i="1" s="1"/>
  <c r="BQ19" i="1"/>
  <c r="BS19" i="1" s="1"/>
  <c r="BQ20" i="1"/>
  <c r="BQ21" i="1"/>
  <c r="BQ22" i="1"/>
  <c r="BQ3" i="1"/>
  <c r="BS8" i="1"/>
  <c r="BS9" i="1"/>
  <c r="BS10" i="1"/>
  <c r="BS11" i="1"/>
  <c r="BS3" i="1"/>
  <c r="BS4" i="1"/>
  <c r="BS5" i="1"/>
  <c r="BS6" i="1"/>
  <c r="BS7" i="1"/>
  <c r="BS12" i="1"/>
  <c r="BS13" i="1"/>
  <c r="BS14" i="1"/>
  <c r="BS15" i="1"/>
  <c r="BS20" i="1"/>
  <c r="BS21" i="1"/>
  <c r="BS22" i="1"/>
  <c r="BP4" i="1"/>
  <c r="BP5" i="1"/>
  <c r="BP6" i="1"/>
  <c r="BP7" i="1"/>
  <c r="BP8" i="1"/>
  <c r="BP9" i="1"/>
  <c r="BP10" i="1"/>
  <c r="BP11" i="1"/>
  <c r="BP12" i="1"/>
  <c r="BP13" i="1"/>
  <c r="BP15" i="1"/>
  <c r="BP16" i="1"/>
  <c r="BP17" i="1"/>
  <c r="BP19" i="1"/>
  <c r="BP20" i="1"/>
  <c r="BP21" i="1"/>
  <c r="BP22" i="1"/>
  <c r="BP3" i="1"/>
  <c r="BO4" i="1"/>
  <c r="BO5" i="1"/>
  <c r="BO6" i="1"/>
  <c r="BO7" i="1"/>
  <c r="BO8" i="1"/>
  <c r="BO9" i="1"/>
  <c r="BO10" i="1"/>
  <c r="BO11" i="1"/>
  <c r="BO12" i="1"/>
  <c r="BO13" i="1"/>
  <c r="BO15" i="1"/>
  <c r="BO16" i="1"/>
  <c r="BO17" i="1"/>
  <c r="BO19" i="1"/>
  <c r="BO20" i="1"/>
  <c r="BO21" i="1"/>
  <c r="BO22" i="1"/>
  <c r="BO3" i="1"/>
  <c r="BN4" i="1"/>
  <c r="BN5" i="1"/>
  <c r="BN6" i="1"/>
  <c r="BN7" i="1"/>
  <c r="BN8" i="1"/>
  <c r="BN9" i="1"/>
  <c r="BN10" i="1"/>
  <c r="BN11" i="1"/>
  <c r="BN12" i="1"/>
  <c r="BN13" i="1"/>
  <c r="BN15" i="1"/>
  <c r="BN16" i="1"/>
  <c r="BN17" i="1"/>
  <c r="BN19" i="1"/>
  <c r="BN20" i="1"/>
  <c r="BN21" i="1"/>
  <c r="BN22" i="1"/>
  <c r="BN3" i="1"/>
  <c r="BM4" i="1"/>
  <c r="BM5" i="1"/>
  <c r="BM6" i="1"/>
  <c r="BM7" i="1"/>
  <c r="BM8" i="1"/>
  <c r="BM9" i="1"/>
  <c r="BM10" i="1"/>
  <c r="BM11" i="1"/>
  <c r="BM12" i="1"/>
  <c r="BM13" i="1"/>
  <c r="BM15" i="1"/>
  <c r="BM16" i="1"/>
  <c r="BM17" i="1"/>
  <c r="BM19" i="1"/>
  <c r="BM20" i="1"/>
  <c r="BM21" i="1"/>
  <c r="BM22" i="1"/>
  <c r="BM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T3" i="1"/>
  <c r="U3" i="1"/>
  <c r="V3" i="1"/>
  <c r="W3" i="1"/>
  <c r="X3" i="1"/>
  <c r="Z3" i="1"/>
  <c r="AA3" i="1"/>
  <c r="AB3" i="1"/>
  <c r="AC3" i="1"/>
  <c r="AD3" i="1"/>
  <c r="AE3" i="1"/>
  <c r="AG3" i="1"/>
  <c r="AH3" i="1"/>
  <c r="AI3" i="1"/>
  <c r="AJ3" i="1"/>
  <c r="AK3" i="1"/>
  <c r="AL3" i="1"/>
  <c r="AN3" i="1"/>
  <c r="AO3" i="1"/>
  <c r="AP3" i="1"/>
  <c r="AQ3" i="1"/>
  <c r="AR3" i="1"/>
  <c r="AS3" i="1"/>
  <c r="AU3" i="1"/>
  <c r="AV3" i="1"/>
  <c r="T4" i="1"/>
  <c r="U4" i="1"/>
  <c r="V4" i="1"/>
  <c r="W4" i="1"/>
  <c r="X4" i="1"/>
  <c r="Z4" i="1"/>
  <c r="AA4" i="1"/>
  <c r="AB4" i="1"/>
  <c r="AC4" i="1"/>
  <c r="AD4" i="1"/>
  <c r="AE4" i="1"/>
  <c r="AG4" i="1"/>
  <c r="AH4" i="1"/>
  <c r="AI4" i="1"/>
  <c r="AJ4" i="1"/>
  <c r="AK4" i="1"/>
  <c r="AL4" i="1"/>
  <c r="AN4" i="1"/>
  <c r="AO4" i="1"/>
  <c r="AP4" i="1"/>
  <c r="AQ4" i="1"/>
  <c r="AR4" i="1"/>
  <c r="AS4" i="1"/>
  <c r="AU4" i="1"/>
  <c r="AV4" i="1"/>
  <c r="T5" i="1"/>
  <c r="U5" i="1"/>
  <c r="V5" i="1"/>
  <c r="W5" i="1"/>
  <c r="X5" i="1"/>
  <c r="Z5" i="1"/>
  <c r="AA5" i="1"/>
  <c r="AB5" i="1"/>
  <c r="AC5" i="1"/>
  <c r="AD5" i="1"/>
  <c r="AE5" i="1"/>
  <c r="AG5" i="1"/>
  <c r="AH5" i="1"/>
  <c r="AI5" i="1"/>
  <c r="AJ5" i="1"/>
  <c r="AK5" i="1"/>
  <c r="AL5" i="1"/>
  <c r="AN5" i="1"/>
  <c r="AO5" i="1"/>
  <c r="AP5" i="1"/>
  <c r="AQ5" i="1"/>
  <c r="AR5" i="1"/>
  <c r="AS5" i="1"/>
  <c r="AU5" i="1"/>
  <c r="AV5" i="1"/>
  <c r="T6" i="1"/>
  <c r="U6" i="1"/>
  <c r="V6" i="1"/>
  <c r="W6" i="1"/>
  <c r="X6" i="1"/>
  <c r="Z6" i="1"/>
  <c r="AA6" i="1"/>
  <c r="AB6" i="1"/>
  <c r="AC6" i="1"/>
  <c r="AD6" i="1"/>
  <c r="AE6" i="1"/>
  <c r="AG6" i="1"/>
  <c r="AH6" i="1"/>
  <c r="AI6" i="1"/>
  <c r="AJ6" i="1"/>
  <c r="AK6" i="1"/>
  <c r="AL6" i="1"/>
  <c r="AN6" i="1"/>
  <c r="AO6" i="1"/>
  <c r="AP6" i="1"/>
  <c r="AQ6" i="1"/>
  <c r="AR6" i="1"/>
  <c r="AS6" i="1"/>
  <c r="AU6" i="1"/>
  <c r="AV6" i="1"/>
  <c r="T7" i="1"/>
  <c r="U7" i="1"/>
  <c r="V7" i="1"/>
  <c r="W7" i="1"/>
  <c r="X7" i="1"/>
  <c r="Z7" i="1"/>
  <c r="AA7" i="1"/>
  <c r="AB7" i="1"/>
  <c r="AC7" i="1"/>
  <c r="AD7" i="1"/>
  <c r="AE7" i="1"/>
  <c r="AG7" i="1"/>
  <c r="AH7" i="1"/>
  <c r="AI7" i="1"/>
  <c r="AJ7" i="1"/>
  <c r="AK7" i="1"/>
  <c r="AL7" i="1"/>
  <c r="AN7" i="1"/>
  <c r="AO7" i="1"/>
  <c r="AP7" i="1"/>
  <c r="AQ7" i="1"/>
  <c r="AR7" i="1"/>
  <c r="AS7" i="1"/>
  <c r="AU7" i="1"/>
  <c r="AV7" i="1"/>
  <c r="T8" i="1"/>
  <c r="U8" i="1"/>
  <c r="V8" i="1"/>
  <c r="W8" i="1"/>
  <c r="X8" i="1"/>
  <c r="Z8" i="1"/>
  <c r="AA8" i="1"/>
  <c r="AB8" i="1"/>
  <c r="AC8" i="1"/>
  <c r="AD8" i="1"/>
  <c r="AE8" i="1"/>
  <c r="AG8" i="1"/>
  <c r="AH8" i="1"/>
  <c r="AI8" i="1"/>
  <c r="AJ8" i="1"/>
  <c r="AK8" i="1"/>
  <c r="AL8" i="1"/>
  <c r="AN8" i="1"/>
  <c r="AO8" i="1"/>
  <c r="AP8" i="1"/>
  <c r="AQ8" i="1"/>
  <c r="AR8" i="1"/>
  <c r="AS8" i="1"/>
  <c r="AU8" i="1"/>
  <c r="AV8" i="1"/>
  <c r="T9" i="1"/>
  <c r="U9" i="1"/>
  <c r="V9" i="1"/>
  <c r="W9" i="1"/>
  <c r="X9" i="1"/>
  <c r="Z9" i="1"/>
  <c r="AA9" i="1"/>
  <c r="AB9" i="1"/>
  <c r="AC9" i="1"/>
  <c r="AD9" i="1"/>
  <c r="AE9" i="1"/>
  <c r="AG9" i="1"/>
  <c r="AH9" i="1"/>
  <c r="AI9" i="1"/>
  <c r="AJ9" i="1"/>
  <c r="AK9" i="1"/>
  <c r="AL9" i="1"/>
  <c r="AN9" i="1"/>
  <c r="AO9" i="1"/>
  <c r="AP9" i="1"/>
  <c r="AQ9" i="1"/>
  <c r="AR9" i="1"/>
  <c r="AS9" i="1"/>
  <c r="AU9" i="1"/>
  <c r="AV9" i="1"/>
  <c r="T10" i="1"/>
  <c r="U10" i="1"/>
  <c r="V10" i="1"/>
  <c r="W10" i="1"/>
  <c r="X10" i="1"/>
  <c r="Z10" i="1"/>
  <c r="AA10" i="1"/>
  <c r="AB10" i="1"/>
  <c r="AC10" i="1"/>
  <c r="AD10" i="1"/>
  <c r="AE10" i="1"/>
  <c r="AG10" i="1"/>
  <c r="AH10" i="1"/>
  <c r="AI10" i="1"/>
  <c r="AJ10" i="1"/>
  <c r="AK10" i="1"/>
  <c r="AL10" i="1"/>
  <c r="AN10" i="1"/>
  <c r="AO10" i="1"/>
  <c r="AP10" i="1"/>
  <c r="AQ10" i="1"/>
  <c r="AR10" i="1"/>
  <c r="AS10" i="1"/>
  <c r="AU10" i="1"/>
  <c r="AV10" i="1"/>
  <c r="T11" i="1"/>
  <c r="U11" i="1"/>
  <c r="V11" i="1"/>
  <c r="W11" i="1"/>
  <c r="X11" i="1"/>
  <c r="Z11" i="1"/>
  <c r="AA11" i="1"/>
  <c r="AB11" i="1"/>
  <c r="AC11" i="1"/>
  <c r="AD11" i="1"/>
  <c r="AE11" i="1"/>
  <c r="AG11" i="1"/>
  <c r="AH11" i="1"/>
  <c r="AI11" i="1"/>
  <c r="AJ11" i="1"/>
  <c r="AK11" i="1"/>
  <c r="AL11" i="1"/>
  <c r="AN11" i="1"/>
  <c r="AO11" i="1"/>
  <c r="AP11" i="1"/>
  <c r="AQ11" i="1"/>
  <c r="AR11" i="1"/>
  <c r="AS11" i="1"/>
  <c r="AU11" i="1"/>
  <c r="AV11" i="1"/>
  <c r="T12" i="1"/>
  <c r="U12" i="1"/>
  <c r="V12" i="1"/>
  <c r="W12" i="1"/>
  <c r="X12" i="1"/>
  <c r="Z12" i="1"/>
  <c r="AA12" i="1"/>
  <c r="AB12" i="1"/>
  <c r="AC12" i="1"/>
  <c r="AD12" i="1"/>
  <c r="AE12" i="1"/>
  <c r="AG12" i="1"/>
  <c r="AH12" i="1"/>
  <c r="AI12" i="1"/>
  <c r="AJ12" i="1"/>
  <c r="AK12" i="1"/>
  <c r="AL12" i="1"/>
  <c r="AN12" i="1"/>
  <c r="AO12" i="1"/>
  <c r="AP12" i="1"/>
  <c r="AQ12" i="1"/>
  <c r="AR12" i="1"/>
  <c r="AS12" i="1"/>
  <c r="AU12" i="1"/>
  <c r="AV12" i="1"/>
  <c r="T13" i="1"/>
  <c r="U13" i="1"/>
  <c r="V13" i="1"/>
  <c r="W13" i="1"/>
  <c r="X13" i="1"/>
  <c r="Z13" i="1"/>
  <c r="AA13" i="1"/>
  <c r="AB13" i="1"/>
  <c r="AC13" i="1"/>
  <c r="AD13" i="1"/>
  <c r="AE13" i="1"/>
  <c r="AG13" i="1"/>
  <c r="AH13" i="1"/>
  <c r="AI13" i="1"/>
  <c r="AJ13" i="1"/>
  <c r="AK13" i="1"/>
  <c r="AL13" i="1"/>
  <c r="AN13" i="1"/>
  <c r="AO13" i="1"/>
  <c r="AP13" i="1"/>
  <c r="AQ13" i="1"/>
  <c r="AR13" i="1"/>
  <c r="AS13" i="1"/>
  <c r="AU13" i="1"/>
  <c r="AV13" i="1"/>
  <c r="T14" i="1"/>
  <c r="U14" i="1"/>
  <c r="V14" i="1"/>
  <c r="W14" i="1"/>
  <c r="X14" i="1"/>
  <c r="Z14" i="1"/>
  <c r="AA14" i="1"/>
  <c r="AB14" i="1"/>
  <c r="AC14" i="1"/>
  <c r="AD14" i="1"/>
  <c r="AE14" i="1"/>
  <c r="AG14" i="1"/>
  <c r="AH14" i="1"/>
  <c r="AI14" i="1"/>
  <c r="AJ14" i="1"/>
  <c r="AK14" i="1"/>
  <c r="AL14" i="1"/>
  <c r="AN14" i="1"/>
  <c r="AO14" i="1"/>
  <c r="AP14" i="1"/>
  <c r="AQ14" i="1"/>
  <c r="AR14" i="1"/>
  <c r="AS14" i="1"/>
  <c r="AU14" i="1"/>
  <c r="AV14" i="1"/>
  <c r="T15" i="1"/>
  <c r="U15" i="1"/>
  <c r="V15" i="1"/>
  <c r="W15" i="1"/>
  <c r="X15" i="1"/>
  <c r="Z15" i="1"/>
  <c r="AA15" i="1"/>
  <c r="AB15" i="1"/>
  <c r="AC15" i="1"/>
  <c r="AD15" i="1"/>
  <c r="AE15" i="1"/>
  <c r="AG15" i="1"/>
  <c r="AH15" i="1"/>
  <c r="AI15" i="1"/>
  <c r="AJ15" i="1"/>
  <c r="AK15" i="1"/>
  <c r="AL15" i="1"/>
  <c r="AN15" i="1"/>
  <c r="AO15" i="1"/>
  <c r="AP15" i="1"/>
  <c r="AQ15" i="1"/>
  <c r="AR15" i="1"/>
  <c r="AS15" i="1"/>
  <c r="AU15" i="1"/>
  <c r="AV15" i="1"/>
  <c r="T16" i="1"/>
  <c r="U16" i="1"/>
  <c r="V16" i="1"/>
  <c r="W16" i="1"/>
  <c r="X16" i="1"/>
  <c r="Z16" i="1"/>
  <c r="AA16" i="1"/>
  <c r="AB16" i="1"/>
  <c r="AC16" i="1"/>
  <c r="AD16" i="1"/>
  <c r="AE16" i="1"/>
  <c r="AG16" i="1"/>
  <c r="AH16" i="1"/>
  <c r="AI16" i="1"/>
  <c r="AJ16" i="1"/>
  <c r="AK16" i="1"/>
  <c r="AL16" i="1"/>
  <c r="AN16" i="1"/>
  <c r="AO16" i="1"/>
  <c r="AP16" i="1"/>
  <c r="AQ16" i="1"/>
  <c r="AR16" i="1"/>
  <c r="AS16" i="1"/>
  <c r="AU16" i="1"/>
  <c r="AV16" i="1"/>
  <c r="T17" i="1"/>
  <c r="U17" i="1"/>
  <c r="V17" i="1"/>
  <c r="W17" i="1"/>
  <c r="X17" i="1"/>
  <c r="Z17" i="1"/>
  <c r="AA17" i="1"/>
  <c r="AB17" i="1"/>
  <c r="AC17" i="1"/>
  <c r="AD17" i="1"/>
  <c r="AE17" i="1"/>
  <c r="AG17" i="1"/>
  <c r="AH17" i="1"/>
  <c r="AI17" i="1"/>
  <c r="AJ17" i="1"/>
  <c r="AK17" i="1"/>
  <c r="AL17" i="1"/>
  <c r="AN17" i="1"/>
  <c r="AO17" i="1"/>
  <c r="AP17" i="1"/>
  <c r="AQ17" i="1"/>
  <c r="AR17" i="1"/>
  <c r="AS17" i="1"/>
  <c r="AU17" i="1"/>
  <c r="AV17" i="1"/>
  <c r="T18" i="1"/>
  <c r="U18" i="1"/>
  <c r="V18" i="1"/>
  <c r="W18" i="1"/>
  <c r="X18" i="1"/>
  <c r="Z18" i="1"/>
  <c r="AA18" i="1"/>
  <c r="AB18" i="1"/>
  <c r="AC18" i="1"/>
  <c r="AD18" i="1"/>
  <c r="AE18" i="1"/>
  <c r="AG18" i="1"/>
  <c r="AH18" i="1"/>
  <c r="AI18" i="1"/>
  <c r="AJ18" i="1"/>
  <c r="AK18" i="1"/>
  <c r="AL18" i="1"/>
  <c r="AN18" i="1"/>
  <c r="AO18" i="1"/>
  <c r="AP18" i="1"/>
  <c r="AQ18" i="1"/>
  <c r="AR18" i="1"/>
  <c r="AS18" i="1"/>
  <c r="AU18" i="1"/>
  <c r="AV18" i="1"/>
  <c r="T19" i="1"/>
  <c r="U19" i="1"/>
  <c r="V19" i="1"/>
  <c r="W19" i="1"/>
  <c r="X19" i="1"/>
  <c r="Z19" i="1"/>
  <c r="AA19" i="1"/>
  <c r="AB19" i="1"/>
  <c r="AC19" i="1"/>
  <c r="AD19" i="1"/>
  <c r="AE19" i="1"/>
  <c r="AG19" i="1"/>
  <c r="AH19" i="1"/>
  <c r="AI19" i="1"/>
  <c r="AJ19" i="1"/>
  <c r="AK19" i="1"/>
  <c r="AL19" i="1"/>
  <c r="AN19" i="1"/>
  <c r="AO19" i="1"/>
  <c r="AP19" i="1"/>
  <c r="AQ19" i="1"/>
  <c r="AR19" i="1"/>
  <c r="AS19" i="1"/>
  <c r="AU19" i="1"/>
  <c r="AV19" i="1"/>
  <c r="T20" i="1"/>
  <c r="U20" i="1"/>
  <c r="V20" i="1"/>
  <c r="W20" i="1"/>
  <c r="X20" i="1"/>
  <c r="Z20" i="1"/>
  <c r="AA20" i="1"/>
  <c r="AB20" i="1"/>
  <c r="AC20" i="1"/>
  <c r="AD20" i="1"/>
  <c r="AE20" i="1"/>
  <c r="AG20" i="1"/>
  <c r="AH20" i="1"/>
  <c r="AI20" i="1"/>
  <c r="AJ20" i="1"/>
  <c r="AK20" i="1"/>
  <c r="AL20" i="1"/>
  <c r="AN20" i="1"/>
  <c r="AO20" i="1"/>
  <c r="AP20" i="1"/>
  <c r="AQ20" i="1"/>
  <c r="AR20" i="1"/>
  <c r="AS20" i="1"/>
  <c r="AU20" i="1"/>
  <c r="AV20" i="1"/>
  <c r="T21" i="1"/>
  <c r="U21" i="1"/>
  <c r="V21" i="1"/>
  <c r="W21" i="1"/>
  <c r="X21" i="1"/>
  <c r="Z21" i="1"/>
  <c r="AA21" i="1"/>
  <c r="AB21" i="1"/>
  <c r="AC21" i="1"/>
  <c r="AD21" i="1"/>
  <c r="AE21" i="1"/>
  <c r="AG21" i="1"/>
  <c r="AH21" i="1"/>
  <c r="AI21" i="1"/>
  <c r="AJ21" i="1"/>
  <c r="AK21" i="1"/>
  <c r="AL21" i="1"/>
  <c r="AN21" i="1"/>
  <c r="AO21" i="1"/>
  <c r="AP21" i="1"/>
  <c r="AQ21" i="1"/>
  <c r="AR21" i="1"/>
  <c r="AS21" i="1"/>
  <c r="AU21" i="1"/>
  <c r="AV21" i="1"/>
  <c r="T22" i="1"/>
  <c r="U22" i="1"/>
  <c r="V22" i="1"/>
  <c r="W22" i="1"/>
  <c r="X22" i="1"/>
  <c r="Z22" i="1"/>
  <c r="AA22" i="1"/>
  <c r="AB22" i="1"/>
  <c r="AC22" i="1"/>
  <c r="AD22" i="1"/>
  <c r="AE22" i="1"/>
  <c r="AG22" i="1"/>
  <c r="AH22" i="1"/>
  <c r="AI22" i="1"/>
  <c r="AJ22" i="1"/>
  <c r="AK22" i="1"/>
  <c r="AL22" i="1"/>
  <c r="AN22" i="1"/>
  <c r="AO22" i="1"/>
  <c r="AP22" i="1"/>
  <c r="AQ22" i="1"/>
  <c r="AR22" i="1"/>
  <c r="AS22" i="1"/>
  <c r="AU22" i="1"/>
  <c r="AV22" i="1"/>
  <c r="S4" i="1"/>
  <c r="S5" i="1"/>
  <c r="S6" i="1"/>
  <c r="S7" i="1"/>
  <c r="S8" i="1"/>
  <c r="AX8" i="1" s="1"/>
  <c r="S9" i="1"/>
  <c r="S10" i="1"/>
  <c r="S11" i="1"/>
  <c r="S12" i="1"/>
  <c r="S13" i="1"/>
  <c r="S14" i="1"/>
  <c r="S15" i="1"/>
  <c r="S16" i="1"/>
  <c r="AX16" i="1" s="1"/>
  <c r="S17" i="1"/>
  <c r="S18" i="1"/>
  <c r="S19" i="1"/>
  <c r="S20" i="1"/>
  <c r="S21" i="1"/>
  <c r="S22" i="1"/>
  <c r="S3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2" i="2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S1" i="1"/>
  <c r="AZ22" i="1" l="1"/>
  <c r="AZ14" i="1"/>
  <c r="AZ6" i="1"/>
  <c r="AX7" i="1"/>
  <c r="AX15" i="1"/>
  <c r="AX21" i="1"/>
  <c r="BB20" i="1"/>
  <c r="AY19" i="1"/>
  <c r="AY11" i="1"/>
  <c r="AX5" i="1"/>
  <c r="BB4" i="1"/>
  <c r="AW3" i="1"/>
  <c r="AX13" i="1"/>
  <c r="BB12" i="1"/>
  <c r="AX18" i="1"/>
  <c r="AX10" i="1"/>
  <c r="BA17" i="1"/>
  <c r="BA9" i="1"/>
  <c r="AW18" i="1"/>
  <c r="AW10" i="1"/>
  <c r="AX3" i="1"/>
  <c r="AY22" i="1"/>
  <c r="BA20" i="1"/>
  <c r="AX19" i="1"/>
  <c r="AZ17" i="1"/>
  <c r="BB15" i="1"/>
  <c r="AY14" i="1"/>
  <c r="BA12" i="1"/>
  <c r="AX11" i="1"/>
  <c r="AZ9" i="1"/>
  <c r="BB7" i="1"/>
  <c r="AY6" i="1"/>
  <c r="BA4" i="1"/>
  <c r="AW17" i="1"/>
  <c r="AW9" i="1"/>
  <c r="AY3" i="1"/>
  <c r="AX22" i="1"/>
  <c r="AZ20" i="1"/>
  <c r="BB18" i="1"/>
  <c r="AY17" i="1"/>
  <c r="BA15" i="1"/>
  <c r="AX14" i="1"/>
  <c r="AZ12" i="1"/>
  <c r="BB10" i="1"/>
  <c r="AY9" i="1"/>
  <c r="BA7" i="1"/>
  <c r="AX6" i="1"/>
  <c r="AZ4" i="1"/>
  <c r="AW16" i="1"/>
  <c r="AW8" i="1"/>
  <c r="AZ3" i="1"/>
  <c r="BB21" i="1"/>
  <c r="AY20" i="1"/>
  <c r="BA18" i="1"/>
  <c r="AX17" i="1"/>
  <c r="AZ15" i="1"/>
  <c r="BC15" i="1" s="1"/>
  <c r="BE15" i="1" s="1"/>
  <c r="BB13" i="1"/>
  <c r="AY12" i="1"/>
  <c r="BA10" i="1"/>
  <c r="AX9" i="1"/>
  <c r="AZ7" i="1"/>
  <c r="BC7" i="1" s="1"/>
  <c r="BE7" i="1" s="1"/>
  <c r="BB5" i="1"/>
  <c r="AY4" i="1"/>
  <c r="AW15" i="1"/>
  <c r="AW7" i="1"/>
  <c r="BA3" i="1"/>
  <c r="BA21" i="1"/>
  <c r="AX20" i="1"/>
  <c r="AZ18" i="1"/>
  <c r="BB16" i="1"/>
  <c r="AY15" i="1"/>
  <c r="BA13" i="1"/>
  <c r="AX12" i="1"/>
  <c r="AZ10" i="1"/>
  <c r="BB8" i="1"/>
  <c r="AY7" i="1"/>
  <c r="BA5" i="1"/>
  <c r="AX4" i="1"/>
  <c r="AW22" i="1"/>
  <c r="AW14" i="1"/>
  <c r="AW6" i="1"/>
  <c r="BB3" i="1"/>
  <c r="AZ21" i="1"/>
  <c r="BB19" i="1"/>
  <c r="AY18" i="1"/>
  <c r="BA16" i="1"/>
  <c r="AZ13" i="1"/>
  <c r="BB11" i="1"/>
  <c r="AY10" i="1"/>
  <c r="BA8" i="1"/>
  <c r="AZ5" i="1"/>
  <c r="AW21" i="1"/>
  <c r="AW13" i="1"/>
  <c r="AW5" i="1"/>
  <c r="BB22" i="1"/>
  <c r="AY21" i="1"/>
  <c r="BA19" i="1"/>
  <c r="AZ16" i="1"/>
  <c r="BB14" i="1"/>
  <c r="AY13" i="1"/>
  <c r="BA11" i="1"/>
  <c r="AZ8" i="1"/>
  <c r="BC8" i="1" s="1"/>
  <c r="BE8" i="1" s="1"/>
  <c r="BB6" i="1"/>
  <c r="AY5" i="1"/>
  <c r="AW20" i="1"/>
  <c r="AW12" i="1"/>
  <c r="AW4" i="1"/>
  <c r="BA22" i="1"/>
  <c r="AZ19" i="1"/>
  <c r="BB17" i="1"/>
  <c r="AY16" i="1"/>
  <c r="BC16" i="1" s="1"/>
  <c r="BE16" i="1" s="1"/>
  <c r="BA14" i="1"/>
  <c r="AZ11" i="1"/>
  <c r="BB9" i="1"/>
  <c r="AY8" i="1"/>
  <c r="BA6" i="1"/>
  <c r="AW19" i="1"/>
  <c r="AW11" i="1"/>
  <c r="BK16" i="1" l="1"/>
  <c r="BF16" i="1"/>
  <c r="BJ16" i="1"/>
  <c r="BL16" i="1" s="1"/>
  <c r="BG16" i="1"/>
  <c r="BK8" i="1"/>
  <c r="BF8" i="1"/>
  <c r="BG8" i="1"/>
  <c r="BJ8" i="1" s="1"/>
  <c r="BL8" i="1" s="1"/>
  <c r="BC4" i="1"/>
  <c r="BE4" i="1" s="1"/>
  <c r="BC21" i="1"/>
  <c r="BE21" i="1" s="1"/>
  <c r="BC18" i="1"/>
  <c r="BE18" i="1" s="1"/>
  <c r="BC5" i="1"/>
  <c r="BE5" i="1" s="1"/>
  <c r="BC10" i="1"/>
  <c r="BE10" i="1" s="1"/>
  <c r="BF15" i="1"/>
  <c r="BK15" i="1"/>
  <c r="BG15" i="1"/>
  <c r="BJ15" i="1"/>
  <c r="BL15" i="1" s="1"/>
  <c r="BF7" i="1"/>
  <c r="BK7" i="1" s="1"/>
  <c r="BG7" i="1"/>
  <c r="BJ7" i="1"/>
  <c r="BL7" i="1" s="1"/>
  <c r="BC12" i="1"/>
  <c r="BE12" i="1" s="1"/>
  <c r="BC13" i="1"/>
  <c r="BE13" i="1" s="1"/>
  <c r="BC19" i="1"/>
  <c r="BE19" i="1" s="1"/>
  <c r="BC17" i="1"/>
  <c r="BE17" i="1" s="1"/>
  <c r="BC6" i="1"/>
  <c r="BE6" i="1" s="1"/>
  <c r="BC22" i="1"/>
  <c r="BE22" i="1" s="1"/>
  <c r="BC11" i="1"/>
  <c r="BE11" i="1" s="1"/>
  <c r="BC3" i="1"/>
  <c r="BE3" i="1" s="1"/>
  <c r="BC20" i="1"/>
  <c r="BE20" i="1" s="1"/>
  <c r="BC9" i="1"/>
  <c r="BE9" i="1" s="1"/>
  <c r="BC14" i="1"/>
  <c r="BE14" i="1" s="1"/>
  <c r="BG14" i="1" l="1"/>
  <c r="BJ14" i="1" s="1"/>
  <c r="BF14" i="1"/>
  <c r="BN14" i="1" s="1"/>
  <c r="BK14" i="1"/>
  <c r="BF13" i="1"/>
  <c r="BJ13" i="1" s="1"/>
  <c r="BL13" i="1" s="1"/>
  <c r="BG13" i="1"/>
  <c r="BK9" i="1"/>
  <c r="BF9" i="1"/>
  <c r="BJ9" i="1" s="1"/>
  <c r="BL9" i="1" s="1"/>
  <c r="BG9" i="1"/>
  <c r="BF20" i="1"/>
  <c r="BJ20" i="1" s="1"/>
  <c r="BL20" i="1" s="1"/>
  <c r="BK20" i="1"/>
  <c r="BG20" i="1"/>
  <c r="BJ12" i="1"/>
  <c r="BL12" i="1" s="1"/>
  <c r="BF12" i="1"/>
  <c r="BK12" i="1"/>
  <c r="BG12" i="1"/>
  <c r="BF17" i="1"/>
  <c r="BK17" i="1" s="1"/>
  <c r="BG17" i="1"/>
  <c r="BJ19" i="1"/>
  <c r="BL19" i="1" s="1"/>
  <c r="BF19" i="1"/>
  <c r="BG19" i="1"/>
  <c r="BK19" i="1"/>
  <c r="BG10" i="1"/>
  <c r="BF10" i="1"/>
  <c r="BK10" i="1"/>
  <c r="BJ10" i="1"/>
  <c r="BL10" i="1" s="1"/>
  <c r="BF11" i="1"/>
  <c r="BK11" i="1" s="1"/>
  <c r="BG11" i="1"/>
  <c r="BF5" i="1"/>
  <c r="BK5" i="1" s="1"/>
  <c r="BG5" i="1"/>
  <c r="BJ4" i="1"/>
  <c r="BL4" i="1" s="1"/>
  <c r="BF4" i="1"/>
  <c r="BK4" i="1"/>
  <c r="BG4" i="1"/>
  <c r="BG3" i="1"/>
  <c r="BF3" i="1"/>
  <c r="BJ3" i="1" s="1"/>
  <c r="BL3" i="1" s="1"/>
  <c r="BK3" i="1"/>
  <c r="BG22" i="1"/>
  <c r="BJ22" i="1" s="1"/>
  <c r="BL22" i="1" s="1"/>
  <c r="BF22" i="1"/>
  <c r="BK22" i="1"/>
  <c r="BG18" i="1"/>
  <c r="BF18" i="1"/>
  <c r="BN18" i="1" s="1"/>
  <c r="BJ18" i="1"/>
  <c r="BG6" i="1"/>
  <c r="BJ6" i="1" s="1"/>
  <c r="BL6" i="1" s="1"/>
  <c r="BF6" i="1"/>
  <c r="BK6" i="1"/>
  <c r="BF21" i="1"/>
  <c r="BJ21" i="1" s="1"/>
  <c r="BL21" i="1" s="1"/>
  <c r="BG21" i="1"/>
  <c r="BM18" i="1" l="1"/>
  <c r="BL18" i="1"/>
  <c r="BO18" i="1"/>
  <c r="BP18" i="1"/>
  <c r="BK18" i="1"/>
  <c r="BM14" i="1"/>
  <c r="BL14" i="1"/>
  <c r="BP14" i="1"/>
  <c r="BO14" i="1"/>
  <c r="BJ17" i="1"/>
  <c r="BL17" i="1" s="1"/>
  <c r="BK13" i="1"/>
  <c r="BJ5" i="1"/>
  <c r="BL5" i="1" s="1"/>
  <c r="BJ11" i="1"/>
  <c r="BL11" i="1" s="1"/>
  <c r="BK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Krishan</author>
  </authors>
  <commentList>
    <comment ref="BF2" authorId="0" shapeId="0" xr:uid="{F9E9EB16-4824-4951-9742-13A84CD8BE0D}">
      <text>
        <r>
          <rPr>
            <b/>
            <sz val="9"/>
            <color indexed="81"/>
            <rFont val="Tahoma"/>
            <family val="2"/>
          </rPr>
          <t xml:space="preserve">Dearness Allowance
</t>
        </r>
      </text>
    </comment>
    <comment ref="BG2" authorId="0" shapeId="0" xr:uid="{5348CF2B-9744-4545-8C1A-62204D4DC4C9}">
      <text>
        <r>
          <rPr>
            <b/>
            <sz val="9"/>
            <color indexed="81"/>
            <rFont val="Tahoma"/>
            <family val="2"/>
          </rPr>
          <t>House Rent Allowance
40% to 52.5%</t>
        </r>
      </text>
    </comment>
    <comment ref="BH2" authorId="0" shapeId="0" xr:uid="{8A9B6859-9561-4993-9566-36DEFA1EB03F}">
      <text>
        <r>
          <rPr>
            <b/>
            <sz val="9"/>
            <color indexed="81"/>
            <rFont val="Tahoma"/>
            <family val="2"/>
          </rPr>
          <t xml:space="preserve">Travel Allowance
</t>
        </r>
      </text>
    </comment>
    <comment ref="BK2" authorId="0" shapeId="0" xr:uid="{0671ABED-8D3F-46E6-B24D-1C66ADC87FD5}">
      <text>
        <r>
          <rPr>
            <b/>
            <sz val="9"/>
            <color indexed="81"/>
            <rFont val="Tahoma"/>
            <family val="2"/>
          </rPr>
          <t>Employee Provident Fund
12% calculate
Basic+DA</t>
        </r>
      </text>
    </comment>
    <comment ref="BL2" authorId="0" shapeId="0" xr:uid="{FBC0E1ED-5ACA-4543-BD84-0E7694B5A4B3}">
      <text>
        <r>
          <rPr>
            <b/>
            <sz val="9"/>
            <color indexed="81"/>
            <rFont val="Tahoma"/>
            <family val="2"/>
          </rPr>
          <t>Employee State Insurance
4% Gross Salary
0.75% Employee
3.25% Employer
If greater than 21000 no esi benefits will be provided</t>
        </r>
      </text>
    </comment>
    <comment ref="BN2" authorId="0" shapeId="0" xr:uid="{C5769454-6E42-459D-922C-5308956D15AE}">
      <text>
        <r>
          <rPr>
            <b/>
            <sz val="9"/>
            <color indexed="81"/>
            <rFont val="Tahoma"/>
            <family val="2"/>
          </rPr>
          <t xml:space="preserve">Employee Pension Scheme
</t>
        </r>
      </text>
    </comment>
    <comment ref="BP2" authorId="0" shapeId="0" xr:uid="{6823433D-614A-4415-986A-3B6600CBAB61}">
      <text>
        <r>
          <rPr>
            <b/>
            <sz val="9"/>
            <color indexed="81"/>
            <rFont val="Tahoma"/>
            <family val="2"/>
          </rPr>
          <t>Professional Tax
it is calculated on gross salary</t>
        </r>
      </text>
    </comment>
    <comment ref="BQ2" authorId="0" shapeId="0" xr:uid="{F5553796-E68D-4D80-BD2B-67F2CA072E49}">
      <text>
        <r>
          <rPr>
            <b/>
            <sz val="9"/>
            <color indexed="81"/>
            <rFont val="Tahoma"/>
            <family val="2"/>
          </rPr>
          <t>Tax Deductions at Source</t>
        </r>
      </text>
    </comment>
  </commentList>
</comments>
</file>

<file path=xl/sharedStrings.xml><?xml version="1.0" encoding="utf-8"?>
<sst xmlns="http://schemas.openxmlformats.org/spreadsheetml/2006/main" count="2756" uniqueCount="194">
  <si>
    <t>Emp ID</t>
  </si>
  <si>
    <t>Name</t>
  </si>
  <si>
    <t>Designation</t>
  </si>
  <si>
    <t>Department</t>
  </si>
  <si>
    <t>E00001</t>
  </si>
  <si>
    <t>Arjun Sharma</t>
  </si>
  <si>
    <t>MIS Executive</t>
  </si>
  <si>
    <t>Sales</t>
  </si>
  <si>
    <t>E00002</t>
  </si>
  <si>
    <t>Amit Verma</t>
  </si>
  <si>
    <t>Officer</t>
  </si>
  <si>
    <t>HR</t>
  </si>
  <si>
    <t>E00003</t>
  </si>
  <si>
    <t>Rohit Singh</t>
  </si>
  <si>
    <t>Accountant</t>
  </si>
  <si>
    <t>IT</t>
  </si>
  <si>
    <t>E00004</t>
  </si>
  <si>
    <t>Suresh Kumar</t>
  </si>
  <si>
    <t>E00005</t>
  </si>
  <si>
    <t>Vijay Patel</t>
  </si>
  <si>
    <t>Admin</t>
  </si>
  <si>
    <t>E00006</t>
  </si>
  <si>
    <t>Raj Gupta</t>
  </si>
  <si>
    <t>E00007</t>
  </si>
  <si>
    <t>Arjun Reddy</t>
  </si>
  <si>
    <t>Manager</t>
  </si>
  <si>
    <t>E00008</t>
  </si>
  <si>
    <t>Amit Rao</t>
  </si>
  <si>
    <t>E00009</t>
  </si>
  <si>
    <t>Rohit Mehta</t>
  </si>
  <si>
    <t>Supervisor</t>
  </si>
  <si>
    <t>MIS</t>
  </si>
  <si>
    <t>E00010</t>
  </si>
  <si>
    <t>Suresh Kapoor</t>
  </si>
  <si>
    <t>E00011</t>
  </si>
  <si>
    <t>Vijay Jain</t>
  </si>
  <si>
    <t>Executive</t>
  </si>
  <si>
    <t>E00012</t>
  </si>
  <si>
    <t>Raj Khan</t>
  </si>
  <si>
    <t>E00013</t>
  </si>
  <si>
    <t>Arjun Kohli</t>
  </si>
  <si>
    <t>Head</t>
  </si>
  <si>
    <t>E00014</t>
  </si>
  <si>
    <t>Amit Nair</t>
  </si>
  <si>
    <t>E00015</t>
  </si>
  <si>
    <t>Rohit Nayak</t>
  </si>
  <si>
    <t>E00016</t>
  </si>
  <si>
    <t>Suresh Chaudhari</t>
  </si>
  <si>
    <t>E00017</t>
  </si>
  <si>
    <t>Vijay Shukla</t>
  </si>
  <si>
    <t>E00018</t>
  </si>
  <si>
    <t>Raj Chopra</t>
  </si>
  <si>
    <t>E00019</t>
  </si>
  <si>
    <t>Arjun Joshi</t>
  </si>
  <si>
    <t>E00020</t>
  </si>
  <si>
    <t>Amit Saxena</t>
  </si>
  <si>
    <t>Mobile No</t>
  </si>
  <si>
    <t>UAN No</t>
  </si>
  <si>
    <t>EPF No</t>
  </si>
  <si>
    <t>Account No</t>
  </si>
  <si>
    <t>ESI No</t>
  </si>
  <si>
    <t>PAN No</t>
  </si>
  <si>
    <t>Adhar No</t>
  </si>
  <si>
    <t>Address</t>
  </si>
  <si>
    <t>City</t>
  </si>
  <si>
    <t>Pin Code</t>
  </si>
  <si>
    <t>Joining Date</t>
  </si>
  <si>
    <t>Shift</t>
  </si>
  <si>
    <t>Email</t>
  </si>
  <si>
    <t>DA</t>
  </si>
  <si>
    <t>HRA</t>
  </si>
  <si>
    <t>TA</t>
  </si>
  <si>
    <t>Basic Salary</t>
  </si>
  <si>
    <t>Gross Salary</t>
  </si>
  <si>
    <t>PT</t>
  </si>
  <si>
    <t>Advance</t>
  </si>
  <si>
    <t>Net Salary</t>
  </si>
  <si>
    <t>EAQAB1644N</t>
  </si>
  <si>
    <t>H.No. 97, Borde Nagar, Kozhikode 485454</t>
  </si>
  <si>
    <t>Hubliâ€“Dharwad</t>
  </si>
  <si>
    <t>Day</t>
  </si>
  <si>
    <t>goleinaaya@hotmail.com</t>
  </si>
  <si>
    <t>ZBUBV5882E</t>
  </si>
  <si>
    <t>H.No. 48, Saxena Marg, Sri Ganganagar 341471</t>
  </si>
  <si>
    <t>Bokaro</t>
  </si>
  <si>
    <t>kundalakshit@grover.biz</t>
  </si>
  <si>
    <t>0566890300</t>
  </si>
  <si>
    <t>TJGVH5342J</t>
  </si>
  <si>
    <t>H.No. 19, Bera Path, Patna-921830</t>
  </si>
  <si>
    <t>Sagar</t>
  </si>
  <si>
    <t>alisha12@gmail.com</t>
  </si>
  <si>
    <t>ULEHS5259C</t>
  </si>
  <si>
    <t>79/84, Gill Ganj, Durgapur 441138</t>
  </si>
  <si>
    <t>Malda</t>
  </si>
  <si>
    <t>jayantbhatnagar@yahoo.com</t>
  </si>
  <si>
    <t>KWJBD7879O</t>
  </si>
  <si>
    <t>077, Varkey Zila, Bhopal-613953</t>
  </si>
  <si>
    <t>Night</t>
  </si>
  <si>
    <t>basudhanuk@yahoo.com</t>
  </si>
  <si>
    <t>UFDWO3434U</t>
  </si>
  <si>
    <t>09/176, Ramanathan, Srikakulam 056440</t>
  </si>
  <si>
    <t>Ajmer</t>
  </si>
  <si>
    <t>aradhyasalvi@rana-korpal.com</t>
  </si>
  <si>
    <t>OENJW3786B</t>
  </si>
  <si>
    <t>35/996, Rattan Path, Baranagar 245477</t>
  </si>
  <si>
    <t>Pimpri-Chinchwad</t>
  </si>
  <si>
    <t>sidhutrisha@jain.org</t>
  </si>
  <si>
    <t>ZEGKG8218G</t>
  </si>
  <si>
    <t>H.No. 573, Doctor Marg, Anand-441446</t>
  </si>
  <si>
    <t>Haridwar</t>
  </si>
  <si>
    <t>jiyahayre@yahoo.com</t>
  </si>
  <si>
    <t>NNTAL6748Q</t>
  </si>
  <si>
    <t>H.No. 92, Mammen, Kirari Suleman Nagar 295910</t>
  </si>
  <si>
    <t>Tezpur</t>
  </si>
  <si>
    <t>irachatterjee@hotmail.com</t>
  </si>
  <si>
    <t>CXJHA2866K</t>
  </si>
  <si>
    <t>97, Sastry Path, Begusarai 985792</t>
  </si>
  <si>
    <t>Vellore</t>
  </si>
  <si>
    <t>shaanmani@hotmail.com</t>
  </si>
  <si>
    <t>IOYYY3750J</t>
  </si>
  <si>
    <t>02/90, Dey Zila, Madurai-475018</t>
  </si>
  <si>
    <t>Suryapet</t>
  </si>
  <si>
    <t>stuvan05@bhatia.com</t>
  </si>
  <si>
    <t>KMXZZ9299V</t>
  </si>
  <si>
    <t>H.No. 869, Sem Nagar, Bhiwandi 457425</t>
  </si>
  <si>
    <t>Bijapur</t>
  </si>
  <si>
    <t>tanyabhargava@bhattacharyya-chokshi.info</t>
  </si>
  <si>
    <t>ABHGW8266S</t>
  </si>
  <si>
    <t>H.No. 22, Chaudhry Circle, Warangal 359716</t>
  </si>
  <si>
    <t>Nanded</t>
  </si>
  <si>
    <t>kalaanahita@gmail.com</t>
  </si>
  <si>
    <t>WWGSX9723W</t>
  </si>
  <si>
    <t>H.No. 80, Ram Nagar, Moradabad 141310</t>
  </si>
  <si>
    <t>Patna</t>
  </si>
  <si>
    <t>bajwariaan@yahoo.com</t>
  </si>
  <si>
    <t>XBWAK3804K</t>
  </si>
  <si>
    <t>H.No. 57, Comar Chowk, Hyderabad 909536</t>
  </si>
  <si>
    <t>Navi Mumbai</t>
  </si>
  <si>
    <t>saira42@jhaveri.com</t>
  </si>
  <si>
    <t>0490993559</t>
  </si>
  <si>
    <t>VFDWO8477X</t>
  </si>
  <si>
    <t>03/341, Thaker Road, Silchar-754081</t>
  </si>
  <si>
    <t>Karaikudi</t>
  </si>
  <si>
    <t>damini04@bhardwaj-kapur.org</t>
  </si>
  <si>
    <t>OBBDA4950A</t>
  </si>
  <si>
    <t>H.No. 01, Ramachandran Zila, Karawal Nagar-312258</t>
  </si>
  <si>
    <t>Bhilwara</t>
  </si>
  <si>
    <t>sankaranarhaan@krish.org</t>
  </si>
  <si>
    <t>NRXNW6482V</t>
  </si>
  <si>
    <t>H.No. 134, Korpal Ganj, Malda 247129</t>
  </si>
  <si>
    <t>Rampur</t>
  </si>
  <si>
    <t>eviswanathan@bhatia.com</t>
  </si>
  <si>
    <t>BZCJY7213K</t>
  </si>
  <si>
    <t>H.No. 695, Garg Road, Gandhidham-754576</t>
  </si>
  <si>
    <t>Ahmedabad</t>
  </si>
  <si>
    <t>aaina37@gmail.com</t>
  </si>
  <si>
    <t>LCIOY5807R</t>
  </si>
  <si>
    <t>51, De Road, Kurnool 321914</t>
  </si>
  <si>
    <t>Tinsukia</t>
  </si>
  <si>
    <t>uthkarshchanda@sabharwal.info</t>
  </si>
  <si>
    <t>Date</t>
  </si>
  <si>
    <t>Attendance</t>
  </si>
  <si>
    <t>P</t>
  </si>
  <si>
    <t>L</t>
  </si>
  <si>
    <t>H</t>
  </si>
  <si>
    <t>A</t>
  </si>
  <si>
    <t>Mon</t>
  </si>
  <si>
    <t>Tue</t>
  </si>
  <si>
    <t>Wed</t>
  </si>
  <si>
    <t>Thu</t>
  </si>
  <si>
    <t>Fri</t>
  </si>
  <si>
    <t>Sat</t>
  </si>
  <si>
    <t>Sun</t>
  </si>
  <si>
    <t>ADDING</t>
  </si>
  <si>
    <t>WO</t>
  </si>
  <si>
    <t>Presents</t>
  </si>
  <si>
    <t>Absents</t>
  </si>
  <si>
    <t>Halfdays</t>
  </si>
  <si>
    <t>Leaves</t>
  </si>
  <si>
    <t>Week Offs</t>
  </si>
  <si>
    <t>Holidays</t>
  </si>
  <si>
    <t>Payable Days</t>
  </si>
  <si>
    <t>Inentive</t>
  </si>
  <si>
    <t>EPF 12%</t>
  </si>
  <si>
    <t>ESI 0.75%</t>
  </si>
  <si>
    <t>EPF 3.67%</t>
  </si>
  <si>
    <t>ESI 3.25%</t>
  </si>
  <si>
    <t>TDS</t>
  </si>
  <si>
    <t>Actual Basic</t>
  </si>
  <si>
    <t>Target</t>
  </si>
  <si>
    <t>Incentive</t>
  </si>
  <si>
    <t>EPS 8.33%</t>
  </si>
  <si>
    <t>Yearly Income Tax Slab Rates</t>
  </si>
  <si>
    <t>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</si>
</sst>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2" fontId="0" fillId="0" borderId="1" xfId="0" applyNumberFormat="1" applyBorder="1" applyAlignment="1">
      <alignment horizontal="center"/>
    </xf>
    <xf numFmtId="9" fontId="1" fillId="0" borderId="0" xfId="0" applyNumberFormat="1" applyFont="1"/>
    <xf numFmtId="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BG1" zoomScale="115" zoomScaleNormal="115" workbookViewId="0">
      <selection activeCell="BH35" sqref="BH35:BJ41"/>
    </sheetView>
  </sheetViews>
  <sheetFormatPr defaultRowHeight="15" x14ac:dyDescent="0.25"/>
  <cols>
    <col min="1" max="1" width="7.7109375" bestFit="1" customWidth="1"/>
    <col min="2" max="2" width="16.5703125" bestFit="1" customWidth="1"/>
    <col min="3" max="3" width="13.42578125" bestFit="1" customWidth="1"/>
    <col min="4" max="4" width="11.85546875" bestFit="1" customWidth="1"/>
    <col min="5" max="5" width="12.28515625" bestFit="1" customWidth="1"/>
    <col min="6" max="6" width="14.7109375" bestFit="1" customWidth="1"/>
    <col min="7" max="10" width="12.28515625" bestFit="1" customWidth="1"/>
    <col min="11" max="11" width="14.85546875" bestFit="1" customWidth="1"/>
    <col min="12" max="12" width="14.7109375" bestFit="1" customWidth="1"/>
    <col min="13" max="13" width="47.85546875" bestFit="1" customWidth="1"/>
    <col min="14" max="14" width="17.5703125" bestFit="1" customWidth="1"/>
    <col min="15" max="15" width="9.140625" bestFit="1" customWidth="1"/>
    <col min="16" max="16" width="12" bestFit="1" customWidth="1"/>
    <col min="17" max="17" width="5.85546875" bestFit="1" customWidth="1"/>
    <col min="18" max="18" width="40.7109375" bestFit="1" customWidth="1"/>
    <col min="19" max="19" width="5.28515625" bestFit="1" customWidth="1"/>
    <col min="20" max="20" width="4.42578125" bestFit="1" customWidth="1"/>
    <col min="21" max="21" width="5.28515625" bestFit="1" customWidth="1"/>
    <col min="22" max="22" width="4.42578125" bestFit="1" customWidth="1"/>
    <col min="23" max="23" width="3.42578125" bestFit="1" customWidth="1"/>
    <col min="24" max="24" width="3.85546875" bestFit="1" customWidth="1"/>
    <col min="25" max="25" width="4.42578125" bestFit="1" customWidth="1"/>
    <col min="26" max="26" width="5.28515625" bestFit="1" customWidth="1"/>
    <col min="27" max="27" width="4.42578125" bestFit="1" customWidth="1"/>
    <col min="28" max="28" width="5.28515625" bestFit="1" customWidth="1"/>
    <col min="29" max="29" width="4.42578125" bestFit="1" customWidth="1"/>
    <col min="30" max="30" width="3.42578125" bestFit="1" customWidth="1"/>
    <col min="31" max="31" width="3.85546875" bestFit="1" customWidth="1"/>
    <col min="32" max="32" width="4.42578125" bestFit="1" customWidth="1"/>
    <col min="33" max="33" width="5.28515625" bestFit="1" customWidth="1"/>
    <col min="34" max="34" width="4.42578125" bestFit="1" customWidth="1"/>
    <col min="35" max="35" width="5.28515625" bestFit="1" customWidth="1"/>
    <col min="36" max="36" width="4.42578125" bestFit="1" customWidth="1"/>
    <col min="37" max="37" width="3.42578125" bestFit="1" customWidth="1"/>
    <col min="38" max="38" width="3.85546875" bestFit="1" customWidth="1"/>
    <col min="39" max="39" width="4.42578125" bestFit="1" customWidth="1"/>
    <col min="40" max="40" width="5.28515625" bestFit="1" customWidth="1"/>
    <col min="41" max="41" width="4.42578125" bestFit="1" customWidth="1"/>
    <col min="42" max="42" width="5.28515625" bestFit="1" customWidth="1"/>
    <col min="43" max="43" width="4.42578125" bestFit="1" customWidth="1"/>
    <col min="44" max="44" width="3.42578125" bestFit="1" customWidth="1"/>
    <col min="45" max="45" width="3.85546875" bestFit="1" customWidth="1"/>
    <col min="46" max="46" width="4.42578125" bestFit="1" customWidth="1"/>
    <col min="47" max="47" width="5.28515625" bestFit="1" customWidth="1"/>
    <col min="48" max="48" width="4.42578125" bestFit="1" customWidth="1"/>
    <col min="49" max="49" width="8.85546875" bestFit="1" customWidth="1"/>
    <col min="50" max="50" width="8.28515625" bestFit="1" customWidth="1"/>
    <col min="51" max="51" width="8.5703125" bestFit="1" customWidth="1"/>
    <col min="52" max="52" width="7.140625" bestFit="1" customWidth="1"/>
    <col min="53" max="53" width="10.42578125" bestFit="1" customWidth="1"/>
    <col min="54" max="54" width="8.5703125" bestFit="1" customWidth="1"/>
    <col min="55" max="55" width="12.7109375" bestFit="1" customWidth="1"/>
    <col min="56" max="56" width="11.28515625" bestFit="1" customWidth="1"/>
    <col min="57" max="57" width="11.5703125" bestFit="1" customWidth="1"/>
    <col min="58" max="58" width="5.5703125" bestFit="1" customWidth="1"/>
    <col min="59" max="59" width="6.7109375" bestFit="1" customWidth="1"/>
    <col min="60" max="60" width="27.140625" bestFit="1" customWidth="1"/>
    <col min="61" max="61" width="9" bestFit="1" customWidth="1"/>
    <col min="62" max="62" width="13.42578125" bestFit="1" customWidth="1"/>
    <col min="63" max="63" width="8.42578125" bestFit="1" customWidth="1"/>
    <col min="64" max="64" width="9.7109375" bestFit="1" customWidth="1"/>
    <col min="65" max="66" width="10.140625" bestFit="1" customWidth="1"/>
    <col min="67" max="67" width="9.7109375" bestFit="1" customWidth="1"/>
    <col min="68" max="68" width="6.7109375" bestFit="1" customWidth="1"/>
    <col min="69" max="69" width="4.42578125" bestFit="1" customWidth="1"/>
    <col min="70" max="70" width="8.5703125" bestFit="1" customWidth="1"/>
    <col min="71" max="71" width="10.140625" bestFit="1" customWidth="1"/>
  </cols>
  <sheetData>
    <row r="1" spans="1:71" x14ac:dyDescent="0.25">
      <c r="S1" s="7" t="str">
        <f>TEXT(S2,"ddd")</f>
        <v>Mon</v>
      </c>
      <c r="T1" s="7" t="str">
        <f t="shared" ref="T1:AV1" si="0">TEXT(T2,"ddd")</f>
        <v>Tue</v>
      </c>
      <c r="U1" s="7" t="str">
        <f t="shared" si="0"/>
        <v>Wed</v>
      </c>
      <c r="V1" s="7" t="str">
        <f t="shared" si="0"/>
        <v>Thu</v>
      </c>
      <c r="W1" s="7" t="str">
        <f t="shared" si="0"/>
        <v>Fri</v>
      </c>
      <c r="X1" s="7" t="str">
        <f t="shared" si="0"/>
        <v>Sat</v>
      </c>
      <c r="Y1" s="7" t="str">
        <f t="shared" si="0"/>
        <v>Sun</v>
      </c>
      <c r="Z1" s="7" t="str">
        <f t="shared" si="0"/>
        <v>Mon</v>
      </c>
      <c r="AA1" s="7" t="str">
        <f t="shared" si="0"/>
        <v>Tue</v>
      </c>
      <c r="AB1" s="7" t="str">
        <f t="shared" si="0"/>
        <v>Wed</v>
      </c>
      <c r="AC1" s="7" t="str">
        <f t="shared" si="0"/>
        <v>Thu</v>
      </c>
      <c r="AD1" s="7" t="str">
        <f t="shared" si="0"/>
        <v>Fri</v>
      </c>
      <c r="AE1" s="7" t="str">
        <f t="shared" si="0"/>
        <v>Sat</v>
      </c>
      <c r="AF1" s="7" t="str">
        <f t="shared" si="0"/>
        <v>Sun</v>
      </c>
      <c r="AG1" s="7" t="str">
        <f t="shared" si="0"/>
        <v>Mon</v>
      </c>
      <c r="AH1" s="7" t="str">
        <f t="shared" si="0"/>
        <v>Tue</v>
      </c>
      <c r="AI1" s="7" t="str">
        <f t="shared" si="0"/>
        <v>Wed</v>
      </c>
      <c r="AJ1" s="7" t="str">
        <f t="shared" si="0"/>
        <v>Thu</v>
      </c>
      <c r="AK1" s="7" t="str">
        <f t="shared" si="0"/>
        <v>Fri</v>
      </c>
      <c r="AL1" s="7" t="str">
        <f t="shared" si="0"/>
        <v>Sat</v>
      </c>
      <c r="AM1" s="7" t="str">
        <f t="shared" si="0"/>
        <v>Sun</v>
      </c>
      <c r="AN1" s="7" t="str">
        <f t="shared" si="0"/>
        <v>Mon</v>
      </c>
      <c r="AO1" s="7" t="str">
        <f t="shared" si="0"/>
        <v>Tue</v>
      </c>
      <c r="AP1" s="7" t="str">
        <f t="shared" si="0"/>
        <v>Wed</v>
      </c>
      <c r="AQ1" s="7" t="str">
        <f t="shared" si="0"/>
        <v>Thu</v>
      </c>
      <c r="AR1" s="7" t="str">
        <f t="shared" si="0"/>
        <v>Fri</v>
      </c>
      <c r="AS1" s="7" t="str">
        <f t="shared" si="0"/>
        <v>Sat</v>
      </c>
      <c r="AT1" s="7" t="str">
        <f t="shared" si="0"/>
        <v>Sun</v>
      </c>
      <c r="AU1" s="7" t="str">
        <f t="shared" si="0"/>
        <v>Mon</v>
      </c>
      <c r="AV1" s="7" t="str">
        <f t="shared" si="0"/>
        <v>Tue</v>
      </c>
    </row>
    <row r="2" spans="1:7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58</v>
      </c>
      <c r="J2" s="8" t="s">
        <v>60</v>
      </c>
      <c r="K2" s="8" t="s">
        <v>61</v>
      </c>
      <c r="L2" s="8" t="s">
        <v>62</v>
      </c>
      <c r="M2" s="8" t="s">
        <v>63</v>
      </c>
      <c r="N2" s="8" t="s">
        <v>64</v>
      </c>
      <c r="O2" s="8" t="s">
        <v>65</v>
      </c>
      <c r="P2" s="8" t="s">
        <v>66</v>
      </c>
      <c r="Q2" s="8" t="s">
        <v>67</v>
      </c>
      <c r="R2" s="9" t="s">
        <v>68</v>
      </c>
      <c r="S2" s="10">
        <v>45901</v>
      </c>
      <c r="T2" s="10">
        <v>45902</v>
      </c>
      <c r="U2" s="10">
        <v>45903</v>
      </c>
      <c r="V2" s="10">
        <v>45904</v>
      </c>
      <c r="W2" s="10">
        <v>45905</v>
      </c>
      <c r="X2" s="10">
        <v>45906</v>
      </c>
      <c r="Y2" s="10">
        <v>45907</v>
      </c>
      <c r="Z2" s="10">
        <v>45908</v>
      </c>
      <c r="AA2" s="10">
        <v>45909</v>
      </c>
      <c r="AB2" s="10">
        <v>45910</v>
      </c>
      <c r="AC2" s="10">
        <v>45911</v>
      </c>
      <c r="AD2" s="10">
        <v>45912</v>
      </c>
      <c r="AE2" s="10">
        <v>45913</v>
      </c>
      <c r="AF2" s="10">
        <v>45914</v>
      </c>
      <c r="AG2" s="10">
        <v>45915</v>
      </c>
      <c r="AH2" s="10">
        <v>45916</v>
      </c>
      <c r="AI2" s="10">
        <v>45917</v>
      </c>
      <c r="AJ2" s="10">
        <v>45918</v>
      </c>
      <c r="AK2" s="10">
        <v>45919</v>
      </c>
      <c r="AL2" s="10">
        <v>45920</v>
      </c>
      <c r="AM2" s="10">
        <v>45921</v>
      </c>
      <c r="AN2" s="10">
        <v>45922</v>
      </c>
      <c r="AO2" s="10">
        <v>45923</v>
      </c>
      <c r="AP2" s="10">
        <v>45924</v>
      </c>
      <c r="AQ2" s="10">
        <v>45925</v>
      </c>
      <c r="AR2" s="10">
        <v>45926</v>
      </c>
      <c r="AS2" s="10">
        <v>45927</v>
      </c>
      <c r="AT2" s="10">
        <v>45928</v>
      </c>
      <c r="AU2" s="10">
        <v>45929</v>
      </c>
      <c r="AV2" s="10">
        <v>45930</v>
      </c>
      <c r="AW2" s="11" t="s">
        <v>175</v>
      </c>
      <c r="AX2" s="11" t="s">
        <v>176</v>
      </c>
      <c r="AY2" s="11" t="s">
        <v>177</v>
      </c>
      <c r="AZ2" s="11" t="s">
        <v>178</v>
      </c>
      <c r="BA2" s="11" t="s">
        <v>179</v>
      </c>
      <c r="BB2" s="11" t="s">
        <v>180</v>
      </c>
      <c r="BC2" s="11" t="s">
        <v>181</v>
      </c>
      <c r="BD2" s="11" t="s">
        <v>72</v>
      </c>
      <c r="BE2" s="11" t="s">
        <v>188</v>
      </c>
      <c r="BF2" s="11" t="s">
        <v>69</v>
      </c>
      <c r="BG2" s="11" t="s">
        <v>70</v>
      </c>
      <c r="BH2" s="11" t="s">
        <v>71</v>
      </c>
      <c r="BI2" s="11" t="s">
        <v>182</v>
      </c>
      <c r="BJ2" s="11" t="s">
        <v>73</v>
      </c>
      <c r="BK2" s="11" t="s">
        <v>183</v>
      </c>
      <c r="BL2" s="11" t="s">
        <v>184</v>
      </c>
      <c r="BM2" s="11" t="s">
        <v>185</v>
      </c>
      <c r="BN2" s="11" t="s">
        <v>191</v>
      </c>
      <c r="BO2" s="11" t="s">
        <v>186</v>
      </c>
      <c r="BP2" s="11" t="s">
        <v>74</v>
      </c>
      <c r="BQ2" s="11" t="s">
        <v>187</v>
      </c>
      <c r="BR2" s="11" t="s">
        <v>75</v>
      </c>
      <c r="BS2" s="11" t="s">
        <v>76</v>
      </c>
    </row>
    <row r="3" spans="1:71" x14ac:dyDescent="0.25">
      <c r="A3" s="2" t="s">
        <v>4</v>
      </c>
      <c r="B3" s="2" t="s">
        <v>5</v>
      </c>
      <c r="C3" s="2" t="s">
        <v>6</v>
      </c>
      <c r="D3" s="2" t="s">
        <v>7</v>
      </c>
      <c r="E3" s="2">
        <v>1644768735</v>
      </c>
      <c r="F3" s="3">
        <v>106703537971</v>
      </c>
      <c r="G3" s="2">
        <v>1471610171</v>
      </c>
      <c r="H3" s="2">
        <v>9038282681</v>
      </c>
      <c r="I3" s="2">
        <v>1471610171</v>
      </c>
      <c r="J3" s="2">
        <v>8851056157</v>
      </c>
      <c r="K3" s="2" t="s">
        <v>77</v>
      </c>
      <c r="L3" s="3">
        <v>391340467909</v>
      </c>
      <c r="M3" s="2" t="s">
        <v>78</v>
      </c>
      <c r="N3" s="2" t="s">
        <v>79</v>
      </c>
      <c r="O3" s="2">
        <v>389592</v>
      </c>
      <c r="P3" s="4">
        <v>43727</v>
      </c>
      <c r="Q3" s="2" t="s">
        <v>80</v>
      </c>
      <c r="R3" s="6" t="s">
        <v>81</v>
      </c>
      <c r="S3" s="2" t="str">
        <f>VLOOKUP($A3&amp;S$2,Sheet2!$D$1:$F$601,3,0)</f>
        <v>A</v>
      </c>
      <c r="T3" s="2" t="str">
        <f>VLOOKUP($A3&amp;T$2,Sheet2!$D$1:$F$601,3,0)</f>
        <v>P</v>
      </c>
      <c r="U3" s="2" t="str">
        <f>VLOOKUP($A3&amp;U$2,Sheet2!$D$1:$F$601,3,0)</f>
        <v>P</v>
      </c>
      <c r="V3" s="2" t="str">
        <f>VLOOKUP($A3&amp;V$2,Sheet2!$D$1:$F$601,3,0)</f>
        <v>P</v>
      </c>
      <c r="W3" s="2" t="str">
        <f>VLOOKUP($A3&amp;W$2,Sheet2!$D$1:$F$601,3,0)</f>
        <v>P</v>
      </c>
      <c r="X3" s="2" t="str">
        <f>VLOOKUP($A3&amp;X$2,Sheet2!$D$1:$F$601,3,0)</f>
        <v>P</v>
      </c>
      <c r="Y3" s="2" t="s">
        <v>174</v>
      </c>
      <c r="Z3" s="2" t="str">
        <f>VLOOKUP($A3&amp;Z$2,Sheet2!$D$1:$F$601,3,0)</f>
        <v>P</v>
      </c>
      <c r="AA3" s="2" t="str">
        <f>VLOOKUP($A3&amp;AA$2,Sheet2!$D$1:$F$601,3,0)</f>
        <v>P</v>
      </c>
      <c r="AB3" s="2" t="str">
        <f>VLOOKUP($A3&amp;AB$2,Sheet2!$D$1:$F$601,3,0)</f>
        <v>P</v>
      </c>
      <c r="AC3" s="2" t="str">
        <f>VLOOKUP($A3&amp;AC$2,Sheet2!$D$1:$F$601,3,0)</f>
        <v>A</v>
      </c>
      <c r="AD3" s="2" t="str">
        <f>VLOOKUP($A3&amp;AD$2,Sheet2!$D$1:$F$601,3,0)</f>
        <v>P</v>
      </c>
      <c r="AE3" s="2" t="str">
        <f>VLOOKUP($A3&amp;AE$2,Sheet2!$D$1:$F$601,3,0)</f>
        <v>P</v>
      </c>
      <c r="AF3" s="2" t="s">
        <v>174</v>
      </c>
      <c r="AG3" s="2" t="str">
        <f>VLOOKUP($A3&amp;AG$2,Sheet2!$D$1:$F$601,3,0)</f>
        <v>L</v>
      </c>
      <c r="AH3" s="2" t="str">
        <f>VLOOKUP($A3&amp;AH$2,Sheet2!$D$1:$F$601,3,0)</f>
        <v>P</v>
      </c>
      <c r="AI3" s="2" t="str">
        <f>VLOOKUP($A3&amp;AI$2,Sheet2!$D$1:$F$601,3,0)</f>
        <v>L</v>
      </c>
      <c r="AJ3" s="2" t="str">
        <f>VLOOKUP($A3&amp;AJ$2,Sheet2!$D$1:$F$601,3,0)</f>
        <v>P</v>
      </c>
      <c r="AK3" s="2" t="str">
        <f>VLOOKUP($A3&amp;AK$2,Sheet2!$D$1:$F$601,3,0)</f>
        <v>P</v>
      </c>
      <c r="AL3" s="2" t="str">
        <f>VLOOKUP($A3&amp;AL$2,Sheet2!$D$1:$F$601,3,0)</f>
        <v>A</v>
      </c>
      <c r="AM3" s="2" t="s">
        <v>174</v>
      </c>
      <c r="AN3" s="2" t="str">
        <f>VLOOKUP($A3&amp;AN$2,Sheet2!$D$1:$F$601,3,0)</f>
        <v>L</v>
      </c>
      <c r="AO3" s="2" t="str">
        <f>VLOOKUP($A3&amp;AO$2,Sheet2!$D$1:$F$601,3,0)</f>
        <v>L</v>
      </c>
      <c r="AP3" s="2" t="str">
        <f>VLOOKUP($A3&amp;AP$2,Sheet2!$D$1:$F$601,3,0)</f>
        <v>P</v>
      </c>
      <c r="AQ3" s="2" t="str">
        <f>VLOOKUP($A3&amp;AQ$2,Sheet2!$D$1:$F$601,3,0)</f>
        <v>P</v>
      </c>
      <c r="AR3" s="2" t="str">
        <f>VLOOKUP($A3&amp;AR$2,Sheet2!$D$1:$F$601,3,0)</f>
        <v>P</v>
      </c>
      <c r="AS3" s="2" t="str">
        <f>VLOOKUP($A3&amp;AS$2,Sheet2!$D$1:$F$601,3,0)</f>
        <v>P</v>
      </c>
      <c r="AT3" s="2" t="s">
        <v>174</v>
      </c>
      <c r="AU3" s="2" t="str">
        <f>VLOOKUP($A3&amp;AU$2,Sheet2!$D$1:$F$601,3,0)</f>
        <v>P</v>
      </c>
      <c r="AV3" s="2" t="str">
        <f>VLOOKUP($A3&amp;AV$2,Sheet2!$D$1:$F$601,3,0)</f>
        <v>P</v>
      </c>
      <c r="AW3" s="2">
        <f>COUNTIF(S3:AV3,"P")</f>
        <v>19</v>
      </c>
      <c r="AX3" s="2">
        <f>COUNTIF(S3:AV3,"A")</f>
        <v>3</v>
      </c>
      <c r="AY3" s="2">
        <f>COUNTIF(S3:AV3,"H")</f>
        <v>0</v>
      </c>
      <c r="AZ3" s="2">
        <f>COUNTIF(S3:AV3,"L")</f>
        <v>4</v>
      </c>
      <c r="BA3" s="2">
        <f>COUNTIF(S3:AV3,"WO")</f>
        <v>4</v>
      </c>
      <c r="BB3" s="2">
        <f>COUNTIF(S3:AV3,"HO")</f>
        <v>0</v>
      </c>
      <c r="BC3" s="2">
        <f>SUM(AW3:BB3)-AX3-IF(AZ3&gt;1,AZ3-1,0)-(AY3/2)</f>
        <v>24</v>
      </c>
      <c r="BD3" s="2">
        <v>15000</v>
      </c>
      <c r="BE3" s="3">
        <f>BD3/30*BC3</f>
        <v>12000</v>
      </c>
      <c r="BF3" s="3">
        <f>BE3*20%</f>
        <v>2400</v>
      </c>
      <c r="BG3" s="3">
        <f>BE3*40%</f>
        <v>4800</v>
      </c>
      <c r="BH3" s="3">
        <v>1734</v>
      </c>
      <c r="BI3" s="3">
        <f>VLOOKUP(A3,Sheet3!$A$1:$E$21,5,0)</f>
        <v>0</v>
      </c>
      <c r="BJ3" s="3">
        <f>SUM(BE3:BI3)</f>
        <v>20934</v>
      </c>
      <c r="BK3" s="3">
        <f>IF(SUM(BE3:BF3)&gt;=15000,1800,(SUM(BE3:BF3)*12%))</f>
        <v>1728</v>
      </c>
      <c r="BL3" s="13">
        <f>IF(BJ3&gt;21000,0,BJ3*0.75%)</f>
        <v>157.005</v>
      </c>
      <c r="BM3" s="3">
        <f>IF(SUM(BE3:BF3)&gt;=15000,550.5,(SUM(BE3:BF3)*3.67%))</f>
        <v>528.4799999999999</v>
      </c>
      <c r="BN3" s="3">
        <f>IF(SUM(BE3:BF3)&gt;=15000,1249.5,SUM(BE3:BF3)*8.33%)</f>
        <v>1199.52</v>
      </c>
      <c r="BO3" s="3">
        <f>IF(BJ3&gt;=21000,0,BJ3*3.25%)</f>
        <v>680.35500000000002</v>
      </c>
      <c r="BP3" s="2">
        <f>IF(BJ3&gt;25000,200,IF(BJ3&gt;20000,150,IF(BJ3&gt;15000,100,0)))</f>
        <v>150</v>
      </c>
      <c r="BQ3" s="3">
        <f>IF((BJ3*12)&lt;=400000,0,
IF((BJ3*12)&lt;=800000,((BJ3*12)-400000)*5%,
IF((BJ3*12)&lt;=1200000,20000+((BJ3*12)-800000)*10%,
IF((BJ3*12)&lt;=1600000,60000+((BJ3*12)-1200000)*15%,
IF((BJ3*12)&lt;=2000000,120000+((BJ3*12)-1600000)*20%,
IF((BJ3*12)&lt;=2400000,200000+((BJ3*12)-2000000)*25%,
IF((BJ3*12)&gt;2400000,300000+((BJ3*12)-2400000)*30%)))))))/12</f>
        <v>0</v>
      </c>
      <c r="BR3" s="2">
        <v>0</v>
      </c>
      <c r="BS3" s="3">
        <f>BJ3-BK3-BL3-BP3-BQ3-BR3</f>
        <v>18898.994999999999</v>
      </c>
    </row>
    <row r="4" spans="1:71" x14ac:dyDescent="0.25">
      <c r="A4" s="2" t="s">
        <v>8</v>
      </c>
      <c r="B4" s="2" t="s">
        <v>9</v>
      </c>
      <c r="C4" s="2" t="s">
        <v>10</v>
      </c>
      <c r="D4" s="2" t="s">
        <v>11</v>
      </c>
      <c r="E4" s="2">
        <v>5268118934</v>
      </c>
      <c r="F4" s="3">
        <v>257161423294</v>
      </c>
      <c r="G4" s="2">
        <v>7093422718</v>
      </c>
      <c r="H4" s="2">
        <v>6423779496</v>
      </c>
      <c r="I4" s="2">
        <v>7093422718</v>
      </c>
      <c r="J4" s="2">
        <v>6807616715</v>
      </c>
      <c r="K4" s="2" t="s">
        <v>82</v>
      </c>
      <c r="L4" s="3">
        <v>871900147341</v>
      </c>
      <c r="M4" s="2" t="s">
        <v>83</v>
      </c>
      <c r="N4" s="2" t="s">
        <v>84</v>
      </c>
      <c r="O4" s="2">
        <v>841143</v>
      </c>
      <c r="P4" s="4">
        <v>44790</v>
      </c>
      <c r="Q4" s="2" t="s">
        <v>80</v>
      </c>
      <c r="R4" s="6" t="s">
        <v>85</v>
      </c>
      <c r="S4" s="2" t="str">
        <f>VLOOKUP($A4&amp;S$2,Sheet2!$D$1:$F$601,3,0)</f>
        <v>P</v>
      </c>
      <c r="T4" s="2" t="str">
        <f>VLOOKUP($A4&amp;T$2,Sheet2!$D$1:$F$601,3,0)</f>
        <v>P</v>
      </c>
      <c r="U4" s="2" t="str">
        <f>VLOOKUP($A4&amp;U$2,Sheet2!$D$1:$F$601,3,0)</f>
        <v>L</v>
      </c>
      <c r="V4" s="2" t="str">
        <f>VLOOKUP($A4&amp;V$2,Sheet2!$D$1:$F$601,3,0)</f>
        <v>P</v>
      </c>
      <c r="W4" s="2" t="str">
        <f>VLOOKUP($A4&amp;W$2,Sheet2!$D$1:$F$601,3,0)</f>
        <v>P</v>
      </c>
      <c r="X4" s="2" t="str">
        <f>VLOOKUP($A4&amp;X$2,Sheet2!$D$1:$F$601,3,0)</f>
        <v>P</v>
      </c>
      <c r="Y4" s="2" t="s">
        <v>174</v>
      </c>
      <c r="Z4" s="2" t="str">
        <f>VLOOKUP($A4&amp;Z$2,Sheet2!$D$1:$F$601,3,0)</f>
        <v>P</v>
      </c>
      <c r="AA4" s="2" t="str">
        <f>VLOOKUP($A4&amp;AA$2,Sheet2!$D$1:$F$601,3,0)</f>
        <v>A</v>
      </c>
      <c r="AB4" s="2" t="str">
        <f>VLOOKUP($A4&amp;AB$2,Sheet2!$D$1:$F$601,3,0)</f>
        <v>P</v>
      </c>
      <c r="AC4" s="2" t="str">
        <f>VLOOKUP($A4&amp;AC$2,Sheet2!$D$1:$F$601,3,0)</f>
        <v>P</v>
      </c>
      <c r="AD4" s="2" t="str">
        <f>VLOOKUP($A4&amp;AD$2,Sheet2!$D$1:$F$601,3,0)</f>
        <v>L</v>
      </c>
      <c r="AE4" s="2" t="str">
        <f>VLOOKUP($A4&amp;AE$2,Sheet2!$D$1:$F$601,3,0)</f>
        <v>P</v>
      </c>
      <c r="AF4" s="2" t="s">
        <v>174</v>
      </c>
      <c r="AG4" s="2" t="str">
        <f>VLOOKUP($A4&amp;AG$2,Sheet2!$D$1:$F$601,3,0)</f>
        <v>A</v>
      </c>
      <c r="AH4" s="2" t="str">
        <f>VLOOKUP($A4&amp;AH$2,Sheet2!$D$1:$F$601,3,0)</f>
        <v>P</v>
      </c>
      <c r="AI4" s="2" t="str">
        <f>VLOOKUP($A4&amp;AI$2,Sheet2!$D$1:$F$601,3,0)</f>
        <v>P</v>
      </c>
      <c r="AJ4" s="2" t="str">
        <f>VLOOKUP($A4&amp;AJ$2,Sheet2!$D$1:$F$601,3,0)</f>
        <v>P</v>
      </c>
      <c r="AK4" s="2" t="str">
        <f>VLOOKUP($A4&amp;AK$2,Sheet2!$D$1:$F$601,3,0)</f>
        <v>A</v>
      </c>
      <c r="AL4" s="2" t="str">
        <f>VLOOKUP($A4&amp;AL$2,Sheet2!$D$1:$F$601,3,0)</f>
        <v>A</v>
      </c>
      <c r="AM4" s="2" t="s">
        <v>174</v>
      </c>
      <c r="AN4" s="2" t="str">
        <f>VLOOKUP($A4&amp;AN$2,Sheet2!$D$1:$F$601,3,0)</f>
        <v>A</v>
      </c>
      <c r="AO4" s="2" t="str">
        <f>VLOOKUP($A4&amp;AO$2,Sheet2!$D$1:$F$601,3,0)</f>
        <v>P</v>
      </c>
      <c r="AP4" s="2" t="str">
        <f>VLOOKUP($A4&amp;AP$2,Sheet2!$D$1:$F$601,3,0)</f>
        <v>P</v>
      </c>
      <c r="AQ4" s="2" t="str">
        <f>VLOOKUP($A4&amp;AQ$2,Sheet2!$D$1:$F$601,3,0)</f>
        <v>P</v>
      </c>
      <c r="AR4" s="2" t="str">
        <f>VLOOKUP($A4&amp;AR$2,Sheet2!$D$1:$F$601,3,0)</f>
        <v>P</v>
      </c>
      <c r="AS4" s="2" t="str">
        <f>VLOOKUP($A4&amp;AS$2,Sheet2!$D$1:$F$601,3,0)</f>
        <v>P</v>
      </c>
      <c r="AT4" s="2" t="s">
        <v>174</v>
      </c>
      <c r="AU4" s="2" t="str">
        <f>VLOOKUP($A4&amp;AU$2,Sheet2!$D$1:$F$601,3,0)</f>
        <v>P</v>
      </c>
      <c r="AV4" s="2" t="str">
        <f>VLOOKUP($A4&amp;AV$2,Sheet2!$D$1:$F$601,3,0)</f>
        <v>P</v>
      </c>
      <c r="AW4" s="2">
        <f t="shared" ref="AW4:AW22" si="1">COUNTIF(S4:AV4,"P")</f>
        <v>19</v>
      </c>
      <c r="AX4" s="2">
        <f t="shared" ref="AX4:AX22" si="2">COUNTIF(S4:AV4,"A")</f>
        <v>5</v>
      </c>
      <c r="AY4" s="2">
        <f t="shared" ref="AY4:AY22" si="3">COUNTIF(S4:AV4,"H")</f>
        <v>0</v>
      </c>
      <c r="AZ4" s="2">
        <f t="shared" ref="AZ4:AZ22" si="4">COUNTIF(S4:AV4,"L")</f>
        <v>2</v>
      </c>
      <c r="BA4" s="2">
        <f t="shared" ref="BA4:BA22" si="5">COUNTIF(S4:AV4,"WO")</f>
        <v>4</v>
      </c>
      <c r="BB4" s="2">
        <f t="shared" ref="BB4:BB22" si="6">COUNTIF(S4:AV4,"HO")</f>
        <v>0</v>
      </c>
      <c r="BC4" s="2">
        <f t="shared" ref="BC4:BC22" si="7">SUM(AW4:BB4)-AX4-IF(AZ4&gt;1,AZ4-1,0)-(AY4/2)</f>
        <v>24</v>
      </c>
      <c r="BD4" s="2">
        <v>11000</v>
      </c>
      <c r="BE4" s="3">
        <f t="shared" ref="BE4:BE22" si="8">BD4/30*BC4</f>
        <v>8800</v>
      </c>
      <c r="BF4" s="3">
        <f t="shared" ref="BF4:BF22" si="9">BE4*20%</f>
        <v>1760</v>
      </c>
      <c r="BG4" s="3">
        <f t="shared" ref="BG4:BG22" si="10">BE4*40%</f>
        <v>3520</v>
      </c>
      <c r="BH4" s="3">
        <v>2900</v>
      </c>
      <c r="BI4" s="3">
        <f>VLOOKUP(A4,Sheet3!$A$1:$E$21,5,0)</f>
        <v>0</v>
      </c>
      <c r="BJ4" s="3">
        <f t="shared" ref="BJ4:BJ22" si="11">SUM(BE4:BI4)</f>
        <v>16980</v>
      </c>
      <c r="BK4" s="3">
        <f t="shared" ref="BK4:BK22" si="12">IF(SUM(BE4:BF4)&gt;=15000,1800,(SUM(BE4:BF4)*12%))</f>
        <v>1267.2</v>
      </c>
      <c r="BL4" s="13">
        <f t="shared" ref="BL4:BL22" si="13">IF(BJ4&gt;21000,0,BJ4*0.75%)</f>
        <v>127.35</v>
      </c>
      <c r="BM4" s="3">
        <f t="shared" ref="BM4:BM22" si="14">IF(SUM(BE4:BF4)&gt;=15000,550.5,(SUM(BE4:BF4)*3.67%))</f>
        <v>387.55199999999996</v>
      </c>
      <c r="BN4" s="3">
        <f t="shared" ref="BN4:BN22" si="15">IF(SUM(BE4:BF4)&gt;=15000,1249.5,SUM(BE4:BF4)*8.33%)</f>
        <v>879.64800000000002</v>
      </c>
      <c r="BO4" s="3">
        <f t="shared" ref="BO4:BO22" si="16">IF(BJ4&gt;=21000,0,BJ4*3.25%)</f>
        <v>551.85</v>
      </c>
      <c r="BP4" s="2">
        <f t="shared" ref="BP4:BP22" si="17">IF(BJ4&gt;25000,200,IF(BJ4&gt;20000,150,IF(BJ4&gt;15000,100,0)))</f>
        <v>100</v>
      </c>
      <c r="BQ4" s="3">
        <f t="shared" ref="BQ4:BQ22" si="18">IF((BJ4*12)&lt;=400000,0,
IF((BJ4*12)&lt;=800000,((BJ4*12)-400000)*5%,
IF((BJ4*12)&lt;=1200000,20000+((BJ4*12)-800000)*10%,
IF((BJ4*12)&lt;=1600000,60000+((BJ4*12)-1200000)*15%,
IF((BJ4*12)&lt;=2000000,120000+((BJ4*12)-1600000)*20%,
IF((BJ4*12)&lt;=2400000,200000+((BJ4*12)-2000000)*25%,
IF((BJ4*12)&gt;2400000,300000+((BJ4*12)-2400000)*30%)))))))/12</f>
        <v>0</v>
      </c>
      <c r="BR4" s="2">
        <v>0</v>
      </c>
      <c r="BS4" s="3">
        <f t="shared" ref="BS4:BS22" si="19">BJ4-BK4-BL4-BP4-BQ4-BR4</f>
        <v>15485.449999999999</v>
      </c>
    </row>
    <row r="5" spans="1:71" x14ac:dyDescent="0.25">
      <c r="A5" s="2" t="s">
        <v>12</v>
      </c>
      <c r="B5" s="2" t="s">
        <v>13</v>
      </c>
      <c r="C5" s="2" t="s">
        <v>14</v>
      </c>
      <c r="D5" s="2" t="s">
        <v>15</v>
      </c>
      <c r="E5" s="5" t="s">
        <v>86</v>
      </c>
      <c r="F5" s="3">
        <v>706014545294</v>
      </c>
      <c r="G5" s="2">
        <v>8495458915</v>
      </c>
      <c r="H5" s="2">
        <v>3559907319</v>
      </c>
      <c r="I5" s="2">
        <v>8495458915</v>
      </c>
      <c r="J5" s="2">
        <v>9904118409</v>
      </c>
      <c r="K5" s="2" t="s">
        <v>87</v>
      </c>
      <c r="L5" s="3">
        <v>589222384145</v>
      </c>
      <c r="M5" s="2" t="s">
        <v>88</v>
      </c>
      <c r="N5" s="2" t="s">
        <v>89</v>
      </c>
      <c r="O5" s="2">
        <v>711990</v>
      </c>
      <c r="P5" s="4">
        <v>43178</v>
      </c>
      <c r="Q5" s="2" t="s">
        <v>80</v>
      </c>
      <c r="R5" s="6" t="s">
        <v>90</v>
      </c>
      <c r="S5" s="2" t="str">
        <f>VLOOKUP($A5&amp;S$2,Sheet2!$D$1:$F$601,3,0)</f>
        <v>P</v>
      </c>
      <c r="T5" s="2" t="str">
        <f>VLOOKUP($A5&amp;T$2,Sheet2!$D$1:$F$601,3,0)</f>
        <v>P</v>
      </c>
      <c r="U5" s="2" t="str">
        <f>VLOOKUP($A5&amp;U$2,Sheet2!$D$1:$F$601,3,0)</f>
        <v>P</v>
      </c>
      <c r="V5" s="2" t="str">
        <f>VLOOKUP($A5&amp;V$2,Sheet2!$D$1:$F$601,3,0)</f>
        <v>A</v>
      </c>
      <c r="W5" s="2" t="str">
        <f>VLOOKUP($A5&amp;W$2,Sheet2!$D$1:$F$601,3,0)</f>
        <v>A</v>
      </c>
      <c r="X5" s="2" t="str">
        <f>VLOOKUP($A5&amp;X$2,Sheet2!$D$1:$F$601,3,0)</f>
        <v>P</v>
      </c>
      <c r="Y5" s="2" t="s">
        <v>174</v>
      </c>
      <c r="Z5" s="2" t="str">
        <f>VLOOKUP($A5&amp;Z$2,Sheet2!$D$1:$F$601,3,0)</f>
        <v>P</v>
      </c>
      <c r="AA5" s="2" t="str">
        <f>VLOOKUP($A5&amp;AA$2,Sheet2!$D$1:$F$601,3,0)</f>
        <v>P</v>
      </c>
      <c r="AB5" s="2" t="str">
        <f>VLOOKUP($A5&amp;AB$2,Sheet2!$D$1:$F$601,3,0)</f>
        <v>A</v>
      </c>
      <c r="AC5" s="2" t="str">
        <f>VLOOKUP($A5&amp;AC$2,Sheet2!$D$1:$F$601,3,0)</f>
        <v>P</v>
      </c>
      <c r="AD5" s="2" t="str">
        <f>VLOOKUP($A5&amp;AD$2,Sheet2!$D$1:$F$601,3,0)</f>
        <v>P</v>
      </c>
      <c r="AE5" s="2" t="str">
        <f>VLOOKUP($A5&amp;AE$2,Sheet2!$D$1:$F$601,3,0)</f>
        <v>A</v>
      </c>
      <c r="AF5" s="2" t="s">
        <v>174</v>
      </c>
      <c r="AG5" s="2" t="str">
        <f>VLOOKUP($A5&amp;AG$2,Sheet2!$D$1:$F$601,3,0)</f>
        <v>P</v>
      </c>
      <c r="AH5" s="2" t="str">
        <f>VLOOKUP($A5&amp;AH$2,Sheet2!$D$1:$F$601,3,0)</f>
        <v>L</v>
      </c>
      <c r="AI5" s="2" t="str">
        <f>VLOOKUP($A5&amp;AI$2,Sheet2!$D$1:$F$601,3,0)</f>
        <v>A</v>
      </c>
      <c r="AJ5" s="2" t="str">
        <f>VLOOKUP($A5&amp;AJ$2,Sheet2!$D$1:$F$601,3,0)</f>
        <v>P</v>
      </c>
      <c r="AK5" s="2" t="str">
        <f>VLOOKUP($A5&amp;AK$2,Sheet2!$D$1:$F$601,3,0)</f>
        <v>L</v>
      </c>
      <c r="AL5" s="2" t="str">
        <f>VLOOKUP($A5&amp;AL$2,Sheet2!$D$1:$F$601,3,0)</f>
        <v>P</v>
      </c>
      <c r="AM5" s="2" t="s">
        <v>174</v>
      </c>
      <c r="AN5" s="2" t="str">
        <f>VLOOKUP($A5&amp;AN$2,Sheet2!$D$1:$F$601,3,0)</f>
        <v>L</v>
      </c>
      <c r="AO5" s="2" t="str">
        <f>VLOOKUP($A5&amp;AO$2,Sheet2!$D$1:$F$601,3,0)</f>
        <v>P</v>
      </c>
      <c r="AP5" s="2" t="str">
        <f>VLOOKUP($A5&amp;AP$2,Sheet2!$D$1:$F$601,3,0)</f>
        <v>L</v>
      </c>
      <c r="AQ5" s="2" t="str">
        <f>VLOOKUP($A5&amp;AQ$2,Sheet2!$D$1:$F$601,3,0)</f>
        <v>P</v>
      </c>
      <c r="AR5" s="2" t="str">
        <f>VLOOKUP($A5&amp;AR$2,Sheet2!$D$1:$F$601,3,0)</f>
        <v>P</v>
      </c>
      <c r="AS5" s="2" t="str">
        <f>VLOOKUP($A5&amp;AS$2,Sheet2!$D$1:$F$601,3,0)</f>
        <v>A</v>
      </c>
      <c r="AT5" s="2" t="s">
        <v>174</v>
      </c>
      <c r="AU5" s="2" t="str">
        <f>VLOOKUP($A5&amp;AU$2,Sheet2!$D$1:$F$601,3,0)</f>
        <v>P</v>
      </c>
      <c r="AV5" s="2" t="str">
        <f>VLOOKUP($A5&amp;AV$2,Sheet2!$D$1:$F$601,3,0)</f>
        <v>P</v>
      </c>
      <c r="AW5" s="2">
        <f t="shared" si="1"/>
        <v>16</v>
      </c>
      <c r="AX5" s="2">
        <f t="shared" si="2"/>
        <v>6</v>
      </c>
      <c r="AY5" s="2">
        <f t="shared" si="3"/>
        <v>0</v>
      </c>
      <c r="AZ5" s="2">
        <f t="shared" si="4"/>
        <v>4</v>
      </c>
      <c r="BA5" s="2">
        <f t="shared" si="5"/>
        <v>4</v>
      </c>
      <c r="BB5" s="2">
        <f t="shared" si="6"/>
        <v>0</v>
      </c>
      <c r="BC5" s="2">
        <f t="shared" si="7"/>
        <v>21</v>
      </c>
      <c r="BD5" s="2">
        <v>14000</v>
      </c>
      <c r="BE5" s="3">
        <f t="shared" si="8"/>
        <v>9800</v>
      </c>
      <c r="BF5" s="3">
        <f t="shared" si="9"/>
        <v>1960</v>
      </c>
      <c r="BG5" s="3">
        <f t="shared" si="10"/>
        <v>3920</v>
      </c>
      <c r="BH5" s="3">
        <v>1449</v>
      </c>
      <c r="BI5" s="3">
        <f>VLOOKUP(A5,Sheet3!$A$1:$E$21,5,0)</f>
        <v>5994.4500000000007</v>
      </c>
      <c r="BJ5" s="3">
        <f t="shared" si="11"/>
        <v>23123.45</v>
      </c>
      <c r="BK5" s="3">
        <f t="shared" si="12"/>
        <v>1411.2</v>
      </c>
      <c r="BL5" s="13">
        <f t="shared" si="13"/>
        <v>0</v>
      </c>
      <c r="BM5" s="3">
        <f t="shared" si="14"/>
        <v>431.59199999999998</v>
      </c>
      <c r="BN5" s="3">
        <f t="shared" si="15"/>
        <v>979.60799999999995</v>
      </c>
      <c r="BO5" s="3">
        <f t="shared" si="16"/>
        <v>0</v>
      </c>
      <c r="BP5" s="2">
        <f t="shared" si="17"/>
        <v>150</v>
      </c>
      <c r="BQ5" s="3">
        <f t="shared" si="18"/>
        <v>0</v>
      </c>
      <c r="BR5" s="2">
        <v>3000</v>
      </c>
      <c r="BS5" s="3">
        <f t="shared" si="19"/>
        <v>18562.25</v>
      </c>
    </row>
    <row r="6" spans="1:71" x14ac:dyDescent="0.25">
      <c r="A6" s="2" t="s">
        <v>16</v>
      </c>
      <c r="B6" s="2" t="s">
        <v>17</v>
      </c>
      <c r="C6" s="2" t="s">
        <v>6</v>
      </c>
      <c r="D6" s="2" t="s">
        <v>15</v>
      </c>
      <c r="E6" s="2">
        <v>1571309616</v>
      </c>
      <c r="F6" s="3">
        <v>308014527615</v>
      </c>
      <c r="G6" s="2">
        <v>6633785225</v>
      </c>
      <c r="H6" s="2">
        <v>6866425426</v>
      </c>
      <c r="I6" s="2">
        <v>6633785225</v>
      </c>
      <c r="J6" s="2">
        <v>5117145225</v>
      </c>
      <c r="K6" s="2" t="s">
        <v>91</v>
      </c>
      <c r="L6" s="3">
        <v>508367384546</v>
      </c>
      <c r="M6" s="2" t="s">
        <v>92</v>
      </c>
      <c r="N6" s="2" t="s">
        <v>93</v>
      </c>
      <c r="O6" s="2">
        <v>118638</v>
      </c>
      <c r="P6" s="4">
        <v>42488</v>
      </c>
      <c r="Q6" s="2" t="s">
        <v>80</v>
      </c>
      <c r="R6" s="6" t="s">
        <v>94</v>
      </c>
      <c r="S6" s="2" t="str">
        <f>VLOOKUP($A6&amp;S$2,Sheet2!$D$1:$F$601,3,0)</f>
        <v>P</v>
      </c>
      <c r="T6" s="2" t="str">
        <f>VLOOKUP($A6&amp;T$2,Sheet2!$D$1:$F$601,3,0)</f>
        <v>A</v>
      </c>
      <c r="U6" s="2" t="str">
        <f>VLOOKUP($A6&amp;U$2,Sheet2!$D$1:$F$601,3,0)</f>
        <v>P</v>
      </c>
      <c r="V6" s="2" t="str">
        <f>VLOOKUP($A6&amp;V$2,Sheet2!$D$1:$F$601,3,0)</f>
        <v>P</v>
      </c>
      <c r="W6" s="2" t="str">
        <f>VLOOKUP($A6&amp;W$2,Sheet2!$D$1:$F$601,3,0)</f>
        <v>P</v>
      </c>
      <c r="X6" s="2" t="str">
        <f>VLOOKUP($A6&amp;X$2,Sheet2!$D$1:$F$601,3,0)</f>
        <v>L</v>
      </c>
      <c r="Y6" s="2" t="s">
        <v>174</v>
      </c>
      <c r="Z6" s="2" t="str">
        <f>VLOOKUP($A6&amp;Z$2,Sheet2!$D$1:$F$601,3,0)</f>
        <v>P</v>
      </c>
      <c r="AA6" s="2" t="str">
        <f>VLOOKUP($A6&amp;AA$2,Sheet2!$D$1:$F$601,3,0)</f>
        <v>A</v>
      </c>
      <c r="AB6" s="2" t="str">
        <f>VLOOKUP($A6&amp;AB$2,Sheet2!$D$1:$F$601,3,0)</f>
        <v>P</v>
      </c>
      <c r="AC6" s="2" t="str">
        <f>VLOOKUP($A6&amp;AC$2,Sheet2!$D$1:$F$601,3,0)</f>
        <v>P</v>
      </c>
      <c r="AD6" s="2" t="str">
        <f>VLOOKUP($A6&amp;AD$2,Sheet2!$D$1:$F$601,3,0)</f>
        <v>P</v>
      </c>
      <c r="AE6" s="2" t="str">
        <f>VLOOKUP($A6&amp;AE$2,Sheet2!$D$1:$F$601,3,0)</f>
        <v>P</v>
      </c>
      <c r="AF6" s="2" t="s">
        <v>174</v>
      </c>
      <c r="AG6" s="2" t="str">
        <f>VLOOKUP($A6&amp;AG$2,Sheet2!$D$1:$F$601,3,0)</f>
        <v>P</v>
      </c>
      <c r="AH6" s="2" t="str">
        <f>VLOOKUP($A6&amp;AH$2,Sheet2!$D$1:$F$601,3,0)</f>
        <v>L</v>
      </c>
      <c r="AI6" s="2" t="str">
        <f>VLOOKUP($A6&amp;AI$2,Sheet2!$D$1:$F$601,3,0)</f>
        <v>P</v>
      </c>
      <c r="AJ6" s="2" t="str">
        <f>VLOOKUP($A6&amp;AJ$2,Sheet2!$D$1:$F$601,3,0)</f>
        <v>P</v>
      </c>
      <c r="AK6" s="2" t="str">
        <f>VLOOKUP($A6&amp;AK$2,Sheet2!$D$1:$F$601,3,0)</f>
        <v>A</v>
      </c>
      <c r="AL6" s="2" t="str">
        <f>VLOOKUP($A6&amp;AL$2,Sheet2!$D$1:$F$601,3,0)</f>
        <v>L</v>
      </c>
      <c r="AM6" s="2" t="s">
        <v>174</v>
      </c>
      <c r="AN6" s="2" t="str">
        <f>VLOOKUP($A6&amp;AN$2,Sheet2!$D$1:$F$601,3,0)</f>
        <v>P</v>
      </c>
      <c r="AO6" s="2" t="str">
        <f>VLOOKUP($A6&amp;AO$2,Sheet2!$D$1:$F$601,3,0)</f>
        <v>A</v>
      </c>
      <c r="AP6" s="2" t="str">
        <f>VLOOKUP($A6&amp;AP$2,Sheet2!$D$1:$F$601,3,0)</f>
        <v>P</v>
      </c>
      <c r="AQ6" s="2" t="str">
        <f>VLOOKUP($A6&amp;AQ$2,Sheet2!$D$1:$F$601,3,0)</f>
        <v>P</v>
      </c>
      <c r="AR6" s="2" t="str">
        <f>VLOOKUP($A6&amp;AR$2,Sheet2!$D$1:$F$601,3,0)</f>
        <v>P</v>
      </c>
      <c r="AS6" s="2" t="str">
        <f>VLOOKUP($A6&amp;AS$2,Sheet2!$D$1:$F$601,3,0)</f>
        <v>P</v>
      </c>
      <c r="AT6" s="2" t="s">
        <v>174</v>
      </c>
      <c r="AU6" s="2" t="str">
        <f>VLOOKUP($A6&amp;AU$2,Sheet2!$D$1:$F$601,3,0)</f>
        <v>P</v>
      </c>
      <c r="AV6" s="2" t="str">
        <f>VLOOKUP($A6&amp;AV$2,Sheet2!$D$1:$F$601,3,0)</f>
        <v>A</v>
      </c>
      <c r="AW6" s="2">
        <f t="shared" si="1"/>
        <v>18</v>
      </c>
      <c r="AX6" s="2">
        <f t="shared" si="2"/>
        <v>5</v>
      </c>
      <c r="AY6" s="2">
        <f t="shared" si="3"/>
        <v>0</v>
      </c>
      <c r="AZ6" s="2">
        <f t="shared" si="4"/>
        <v>3</v>
      </c>
      <c r="BA6" s="2">
        <f t="shared" si="5"/>
        <v>4</v>
      </c>
      <c r="BB6" s="2">
        <f t="shared" si="6"/>
        <v>0</v>
      </c>
      <c r="BC6" s="2">
        <f t="shared" si="7"/>
        <v>23</v>
      </c>
      <c r="BD6" s="2">
        <v>19000</v>
      </c>
      <c r="BE6" s="3">
        <f t="shared" si="8"/>
        <v>14566.666666666668</v>
      </c>
      <c r="BF6" s="3">
        <f t="shared" si="9"/>
        <v>2913.3333333333339</v>
      </c>
      <c r="BG6" s="3">
        <f t="shared" si="10"/>
        <v>5826.6666666666679</v>
      </c>
      <c r="BH6" s="3">
        <v>2937</v>
      </c>
      <c r="BI6" s="3">
        <f>VLOOKUP(A6,Sheet3!$A$1:$E$21,5,0)</f>
        <v>5971.55</v>
      </c>
      <c r="BJ6" s="3">
        <f t="shared" si="11"/>
        <v>32215.216666666667</v>
      </c>
      <c r="BK6" s="3">
        <f t="shared" si="12"/>
        <v>1800</v>
      </c>
      <c r="BL6" s="13">
        <f t="shared" si="13"/>
        <v>0</v>
      </c>
      <c r="BM6" s="3">
        <f t="shared" si="14"/>
        <v>550.5</v>
      </c>
      <c r="BN6" s="3">
        <f t="shared" si="15"/>
        <v>1249.5</v>
      </c>
      <c r="BO6" s="3">
        <f t="shared" si="16"/>
        <v>0</v>
      </c>
      <c r="BP6" s="2">
        <f t="shared" si="17"/>
        <v>200</v>
      </c>
      <c r="BQ6" s="3">
        <f t="shared" si="18"/>
        <v>0</v>
      </c>
      <c r="BR6" s="2">
        <v>0</v>
      </c>
      <c r="BS6" s="3">
        <f t="shared" si="19"/>
        <v>30215.216666666667</v>
      </c>
    </row>
    <row r="7" spans="1:71" x14ac:dyDescent="0.25">
      <c r="A7" s="2" t="s">
        <v>18</v>
      </c>
      <c r="B7" s="2" t="s">
        <v>19</v>
      </c>
      <c r="C7" s="2" t="s">
        <v>20</v>
      </c>
      <c r="D7" s="2" t="s">
        <v>15</v>
      </c>
      <c r="E7" s="2">
        <v>5586820751</v>
      </c>
      <c r="F7" s="3">
        <v>952432582141</v>
      </c>
      <c r="G7" s="2">
        <v>3033469508</v>
      </c>
      <c r="H7" s="2">
        <v>4760413935</v>
      </c>
      <c r="I7" s="2">
        <v>3033469508</v>
      </c>
      <c r="J7" s="2">
        <v>8837254663</v>
      </c>
      <c r="K7" s="2" t="s">
        <v>95</v>
      </c>
      <c r="L7" s="3">
        <v>375042859785</v>
      </c>
      <c r="M7" s="2" t="s">
        <v>96</v>
      </c>
      <c r="N7" s="2" t="s">
        <v>93</v>
      </c>
      <c r="O7" s="2">
        <v>827389</v>
      </c>
      <c r="P7" s="4">
        <v>45406</v>
      </c>
      <c r="Q7" s="2" t="s">
        <v>97</v>
      </c>
      <c r="R7" s="6" t="s">
        <v>98</v>
      </c>
      <c r="S7" s="2" t="str">
        <f>VLOOKUP($A7&amp;S$2,Sheet2!$D$1:$F$601,3,0)</f>
        <v>A</v>
      </c>
      <c r="T7" s="2" t="str">
        <f>VLOOKUP($A7&amp;T$2,Sheet2!$D$1:$F$601,3,0)</f>
        <v>P</v>
      </c>
      <c r="U7" s="2" t="str">
        <f>VLOOKUP($A7&amp;U$2,Sheet2!$D$1:$F$601,3,0)</f>
        <v>P</v>
      </c>
      <c r="V7" s="2" t="str">
        <f>VLOOKUP($A7&amp;V$2,Sheet2!$D$1:$F$601,3,0)</f>
        <v>P</v>
      </c>
      <c r="W7" s="2" t="str">
        <f>VLOOKUP($A7&amp;W$2,Sheet2!$D$1:$F$601,3,0)</f>
        <v>L</v>
      </c>
      <c r="X7" s="2" t="str">
        <f>VLOOKUP($A7&amp;X$2,Sheet2!$D$1:$F$601,3,0)</f>
        <v>P</v>
      </c>
      <c r="Y7" s="2" t="s">
        <v>174</v>
      </c>
      <c r="Z7" s="2" t="str">
        <f>VLOOKUP($A7&amp;Z$2,Sheet2!$D$1:$F$601,3,0)</f>
        <v>P</v>
      </c>
      <c r="AA7" s="2" t="str">
        <f>VLOOKUP($A7&amp;AA$2,Sheet2!$D$1:$F$601,3,0)</f>
        <v>P</v>
      </c>
      <c r="AB7" s="2" t="str">
        <f>VLOOKUP($A7&amp;AB$2,Sheet2!$D$1:$F$601,3,0)</f>
        <v>P</v>
      </c>
      <c r="AC7" s="2" t="str">
        <f>VLOOKUP($A7&amp;AC$2,Sheet2!$D$1:$F$601,3,0)</f>
        <v>P</v>
      </c>
      <c r="AD7" s="2" t="str">
        <f>VLOOKUP($A7&amp;AD$2,Sheet2!$D$1:$F$601,3,0)</f>
        <v>P</v>
      </c>
      <c r="AE7" s="2" t="str">
        <f>VLOOKUP($A7&amp;AE$2,Sheet2!$D$1:$F$601,3,0)</f>
        <v>P</v>
      </c>
      <c r="AF7" s="2" t="s">
        <v>174</v>
      </c>
      <c r="AG7" s="2" t="str">
        <f>VLOOKUP($A7&amp;AG$2,Sheet2!$D$1:$F$601,3,0)</f>
        <v>A</v>
      </c>
      <c r="AH7" s="2" t="str">
        <f>VLOOKUP($A7&amp;AH$2,Sheet2!$D$1:$F$601,3,0)</f>
        <v>P</v>
      </c>
      <c r="AI7" s="2" t="str">
        <f>VLOOKUP($A7&amp;AI$2,Sheet2!$D$1:$F$601,3,0)</f>
        <v>A</v>
      </c>
      <c r="AJ7" s="2" t="str">
        <f>VLOOKUP($A7&amp;AJ$2,Sheet2!$D$1:$F$601,3,0)</f>
        <v>P</v>
      </c>
      <c r="AK7" s="2" t="str">
        <f>VLOOKUP($A7&amp;AK$2,Sheet2!$D$1:$F$601,3,0)</f>
        <v>P</v>
      </c>
      <c r="AL7" s="2" t="str">
        <f>VLOOKUP($A7&amp;AL$2,Sheet2!$D$1:$F$601,3,0)</f>
        <v>P</v>
      </c>
      <c r="AM7" s="2" t="s">
        <v>174</v>
      </c>
      <c r="AN7" s="2" t="str">
        <f>VLOOKUP($A7&amp;AN$2,Sheet2!$D$1:$F$601,3,0)</f>
        <v>A</v>
      </c>
      <c r="AO7" s="2" t="str">
        <f>VLOOKUP($A7&amp;AO$2,Sheet2!$D$1:$F$601,3,0)</f>
        <v>P</v>
      </c>
      <c r="AP7" s="2" t="str">
        <f>VLOOKUP($A7&amp;AP$2,Sheet2!$D$1:$F$601,3,0)</f>
        <v>P</v>
      </c>
      <c r="AQ7" s="2" t="str">
        <f>VLOOKUP($A7&amp;AQ$2,Sheet2!$D$1:$F$601,3,0)</f>
        <v>P</v>
      </c>
      <c r="AR7" s="2" t="str">
        <f>VLOOKUP($A7&amp;AR$2,Sheet2!$D$1:$F$601,3,0)</f>
        <v>P</v>
      </c>
      <c r="AS7" s="2" t="str">
        <f>VLOOKUP($A7&amp;AS$2,Sheet2!$D$1:$F$601,3,0)</f>
        <v>A</v>
      </c>
      <c r="AT7" s="2" t="s">
        <v>174</v>
      </c>
      <c r="AU7" s="2" t="str">
        <f>VLOOKUP($A7&amp;AU$2,Sheet2!$D$1:$F$601,3,0)</f>
        <v>L</v>
      </c>
      <c r="AV7" s="2" t="str">
        <f>VLOOKUP($A7&amp;AV$2,Sheet2!$D$1:$F$601,3,0)</f>
        <v>P</v>
      </c>
      <c r="AW7" s="2">
        <f t="shared" si="1"/>
        <v>19</v>
      </c>
      <c r="AX7" s="2">
        <f t="shared" si="2"/>
        <v>5</v>
      </c>
      <c r="AY7" s="2">
        <f t="shared" si="3"/>
        <v>0</v>
      </c>
      <c r="AZ7" s="2">
        <f t="shared" si="4"/>
        <v>2</v>
      </c>
      <c r="BA7" s="2">
        <f t="shared" si="5"/>
        <v>4</v>
      </c>
      <c r="BB7" s="2">
        <f t="shared" si="6"/>
        <v>0</v>
      </c>
      <c r="BC7" s="2">
        <f t="shared" si="7"/>
        <v>24</v>
      </c>
      <c r="BD7" s="2">
        <v>13000</v>
      </c>
      <c r="BE7" s="3">
        <f t="shared" si="8"/>
        <v>10400</v>
      </c>
      <c r="BF7" s="3">
        <f t="shared" si="9"/>
        <v>2080</v>
      </c>
      <c r="BG7" s="3">
        <f t="shared" si="10"/>
        <v>4160</v>
      </c>
      <c r="BH7" s="3">
        <v>1404</v>
      </c>
      <c r="BI7" s="3">
        <f>VLOOKUP(A7,Sheet3!$A$1:$E$21,5,0)</f>
        <v>0</v>
      </c>
      <c r="BJ7" s="3">
        <f t="shared" si="11"/>
        <v>18044</v>
      </c>
      <c r="BK7" s="3">
        <f t="shared" si="12"/>
        <v>1497.6</v>
      </c>
      <c r="BL7" s="13">
        <f t="shared" si="13"/>
        <v>135.32999999999998</v>
      </c>
      <c r="BM7" s="3">
        <f t="shared" si="14"/>
        <v>458.01599999999996</v>
      </c>
      <c r="BN7" s="3">
        <f t="shared" si="15"/>
        <v>1039.5840000000001</v>
      </c>
      <c r="BO7" s="3">
        <f t="shared" si="16"/>
        <v>586.43000000000006</v>
      </c>
      <c r="BP7" s="2">
        <f t="shared" si="17"/>
        <v>100</v>
      </c>
      <c r="BQ7" s="3">
        <f t="shared" si="18"/>
        <v>0</v>
      </c>
      <c r="BR7" s="2">
        <v>0</v>
      </c>
      <c r="BS7" s="3">
        <f t="shared" si="19"/>
        <v>16311.07</v>
      </c>
    </row>
    <row r="8" spans="1:71" x14ac:dyDescent="0.25">
      <c r="A8" s="2" t="s">
        <v>21</v>
      </c>
      <c r="B8" s="2" t="s">
        <v>22</v>
      </c>
      <c r="C8" s="2" t="s">
        <v>6</v>
      </c>
      <c r="D8" s="2" t="s">
        <v>20</v>
      </c>
      <c r="E8" s="2">
        <v>9536962915</v>
      </c>
      <c r="F8" s="3">
        <v>264814525805</v>
      </c>
      <c r="G8" s="2">
        <v>4495860965</v>
      </c>
      <c r="H8" s="2">
        <v>3946586353</v>
      </c>
      <c r="I8" s="2">
        <v>4495860965</v>
      </c>
      <c r="J8" s="2">
        <v>7767690099</v>
      </c>
      <c r="K8" s="2" t="s">
        <v>99</v>
      </c>
      <c r="L8" s="3">
        <v>558379283425</v>
      </c>
      <c r="M8" s="2" t="s">
        <v>100</v>
      </c>
      <c r="N8" s="2" t="s">
        <v>101</v>
      </c>
      <c r="O8" s="2">
        <v>299503</v>
      </c>
      <c r="P8" s="4">
        <v>42676</v>
      </c>
      <c r="Q8" s="2" t="s">
        <v>97</v>
      </c>
      <c r="R8" s="6" t="s">
        <v>102</v>
      </c>
      <c r="S8" s="2" t="str">
        <f>VLOOKUP($A8&amp;S$2,Sheet2!$D$1:$F$601,3,0)</f>
        <v>P</v>
      </c>
      <c r="T8" s="2" t="str">
        <f>VLOOKUP($A8&amp;T$2,Sheet2!$D$1:$F$601,3,0)</f>
        <v>A</v>
      </c>
      <c r="U8" s="2" t="str">
        <f>VLOOKUP($A8&amp;U$2,Sheet2!$D$1:$F$601,3,0)</f>
        <v>P</v>
      </c>
      <c r="V8" s="2" t="str">
        <f>VLOOKUP($A8&amp;V$2,Sheet2!$D$1:$F$601,3,0)</f>
        <v>P</v>
      </c>
      <c r="W8" s="2" t="str">
        <f>VLOOKUP($A8&amp;W$2,Sheet2!$D$1:$F$601,3,0)</f>
        <v>P</v>
      </c>
      <c r="X8" s="2" t="str">
        <f>VLOOKUP($A8&amp;X$2,Sheet2!$D$1:$F$601,3,0)</f>
        <v>L</v>
      </c>
      <c r="Y8" s="2" t="s">
        <v>174</v>
      </c>
      <c r="Z8" s="2" t="str">
        <f>VLOOKUP($A8&amp;Z$2,Sheet2!$D$1:$F$601,3,0)</f>
        <v>P</v>
      </c>
      <c r="AA8" s="2" t="str">
        <f>VLOOKUP($A8&amp;AA$2,Sheet2!$D$1:$F$601,3,0)</f>
        <v>P</v>
      </c>
      <c r="AB8" s="2" t="str">
        <f>VLOOKUP($A8&amp;AB$2,Sheet2!$D$1:$F$601,3,0)</f>
        <v>P</v>
      </c>
      <c r="AC8" s="2" t="str">
        <f>VLOOKUP($A8&amp;AC$2,Sheet2!$D$1:$F$601,3,0)</f>
        <v>P</v>
      </c>
      <c r="AD8" s="2" t="str">
        <f>VLOOKUP($A8&amp;AD$2,Sheet2!$D$1:$F$601,3,0)</f>
        <v>P</v>
      </c>
      <c r="AE8" s="2" t="str">
        <f>VLOOKUP($A8&amp;AE$2,Sheet2!$D$1:$F$601,3,0)</f>
        <v>A</v>
      </c>
      <c r="AF8" s="2" t="s">
        <v>174</v>
      </c>
      <c r="AG8" s="2" t="str">
        <f>VLOOKUP($A8&amp;AG$2,Sheet2!$D$1:$F$601,3,0)</f>
        <v>P</v>
      </c>
      <c r="AH8" s="2" t="str">
        <f>VLOOKUP($A8&amp;AH$2,Sheet2!$D$1:$F$601,3,0)</f>
        <v>P</v>
      </c>
      <c r="AI8" s="2" t="str">
        <f>VLOOKUP($A8&amp;AI$2,Sheet2!$D$1:$F$601,3,0)</f>
        <v>P</v>
      </c>
      <c r="AJ8" s="2" t="str">
        <f>VLOOKUP($A8&amp;AJ$2,Sheet2!$D$1:$F$601,3,0)</f>
        <v>A</v>
      </c>
      <c r="AK8" s="2" t="str">
        <f>VLOOKUP($A8&amp;AK$2,Sheet2!$D$1:$F$601,3,0)</f>
        <v>P</v>
      </c>
      <c r="AL8" s="2" t="str">
        <f>VLOOKUP($A8&amp;AL$2,Sheet2!$D$1:$F$601,3,0)</f>
        <v>P</v>
      </c>
      <c r="AM8" s="2" t="s">
        <v>174</v>
      </c>
      <c r="AN8" s="2" t="str">
        <f>VLOOKUP($A8&amp;AN$2,Sheet2!$D$1:$F$601,3,0)</f>
        <v>P</v>
      </c>
      <c r="AO8" s="2" t="str">
        <f>VLOOKUP($A8&amp;AO$2,Sheet2!$D$1:$F$601,3,0)</f>
        <v>P</v>
      </c>
      <c r="AP8" s="2" t="str">
        <f>VLOOKUP($A8&amp;AP$2,Sheet2!$D$1:$F$601,3,0)</f>
        <v>P</v>
      </c>
      <c r="AQ8" s="2" t="str">
        <f>VLOOKUP($A8&amp;AQ$2,Sheet2!$D$1:$F$601,3,0)</f>
        <v>P</v>
      </c>
      <c r="AR8" s="2" t="str">
        <f>VLOOKUP($A8&amp;AR$2,Sheet2!$D$1:$F$601,3,0)</f>
        <v>A</v>
      </c>
      <c r="AS8" s="2" t="str">
        <f>VLOOKUP($A8&amp;AS$2,Sheet2!$D$1:$F$601,3,0)</f>
        <v>P</v>
      </c>
      <c r="AT8" s="2" t="s">
        <v>174</v>
      </c>
      <c r="AU8" s="2" t="str">
        <f>VLOOKUP($A8&amp;AU$2,Sheet2!$D$1:$F$601,3,0)</f>
        <v>P</v>
      </c>
      <c r="AV8" s="2" t="str">
        <f>VLOOKUP($A8&amp;AV$2,Sheet2!$D$1:$F$601,3,0)</f>
        <v>P</v>
      </c>
      <c r="AW8" s="2">
        <f t="shared" si="1"/>
        <v>21</v>
      </c>
      <c r="AX8" s="2">
        <f t="shared" si="2"/>
        <v>4</v>
      </c>
      <c r="AY8" s="2">
        <f t="shared" si="3"/>
        <v>0</v>
      </c>
      <c r="AZ8" s="2">
        <f t="shared" si="4"/>
        <v>1</v>
      </c>
      <c r="BA8" s="2">
        <f t="shared" si="5"/>
        <v>4</v>
      </c>
      <c r="BB8" s="2">
        <f t="shared" si="6"/>
        <v>0</v>
      </c>
      <c r="BC8" s="2">
        <f t="shared" si="7"/>
        <v>26</v>
      </c>
      <c r="BD8" s="2">
        <v>14000</v>
      </c>
      <c r="BE8" s="3">
        <f t="shared" si="8"/>
        <v>12133.333333333334</v>
      </c>
      <c r="BF8" s="3">
        <f t="shared" si="9"/>
        <v>2426.666666666667</v>
      </c>
      <c r="BG8" s="3">
        <f t="shared" si="10"/>
        <v>4853.3333333333339</v>
      </c>
      <c r="BH8" s="3">
        <v>2957</v>
      </c>
      <c r="BI8" s="3">
        <f>VLOOKUP(A8,Sheet3!$A$1:$E$21,5,0)</f>
        <v>5092</v>
      </c>
      <c r="BJ8" s="3">
        <f t="shared" si="11"/>
        <v>27462.333333333336</v>
      </c>
      <c r="BK8" s="3">
        <f t="shared" si="12"/>
        <v>1747.2</v>
      </c>
      <c r="BL8" s="13">
        <f t="shared" si="13"/>
        <v>0</v>
      </c>
      <c r="BM8" s="3">
        <f t="shared" si="14"/>
        <v>534.35199999999998</v>
      </c>
      <c r="BN8" s="3">
        <f t="shared" si="15"/>
        <v>1212.848</v>
      </c>
      <c r="BO8" s="3">
        <f t="shared" si="16"/>
        <v>0</v>
      </c>
      <c r="BP8" s="2">
        <f t="shared" si="17"/>
        <v>200</v>
      </c>
      <c r="BQ8" s="3">
        <f t="shared" si="18"/>
        <v>0</v>
      </c>
      <c r="BR8" s="2">
        <v>0</v>
      </c>
      <c r="BS8" s="3">
        <f t="shared" si="19"/>
        <v>25515.133333333335</v>
      </c>
    </row>
    <row r="9" spans="1:71" x14ac:dyDescent="0.25">
      <c r="A9" s="2" t="s">
        <v>23</v>
      </c>
      <c r="B9" s="2" t="s">
        <v>24</v>
      </c>
      <c r="C9" s="2" t="s">
        <v>25</v>
      </c>
      <c r="D9" s="2" t="s">
        <v>20</v>
      </c>
      <c r="E9" s="2">
        <v>4927993180</v>
      </c>
      <c r="F9" s="3">
        <v>866531392409</v>
      </c>
      <c r="G9" s="2">
        <v>1521707674</v>
      </c>
      <c r="H9" s="2">
        <v>2655515153</v>
      </c>
      <c r="I9" s="2">
        <v>1521707674</v>
      </c>
      <c r="J9" s="2">
        <v>6500860399</v>
      </c>
      <c r="K9" s="2" t="s">
        <v>103</v>
      </c>
      <c r="L9" s="3">
        <v>106115846466</v>
      </c>
      <c r="M9" s="2" t="s">
        <v>104</v>
      </c>
      <c r="N9" s="2" t="s">
        <v>105</v>
      </c>
      <c r="O9" s="2">
        <v>367811</v>
      </c>
      <c r="P9" s="4">
        <v>42498</v>
      </c>
      <c r="Q9" s="2" t="s">
        <v>80</v>
      </c>
      <c r="R9" s="6" t="s">
        <v>106</v>
      </c>
      <c r="S9" s="2" t="str">
        <f>VLOOKUP($A9&amp;S$2,Sheet2!$D$1:$F$601,3,0)</f>
        <v>L</v>
      </c>
      <c r="T9" s="2" t="str">
        <f>VLOOKUP($A9&amp;T$2,Sheet2!$D$1:$F$601,3,0)</f>
        <v>L</v>
      </c>
      <c r="U9" s="2" t="str">
        <f>VLOOKUP($A9&amp;U$2,Sheet2!$D$1:$F$601,3,0)</f>
        <v>P</v>
      </c>
      <c r="V9" s="2" t="str">
        <f>VLOOKUP($A9&amp;V$2,Sheet2!$D$1:$F$601,3,0)</f>
        <v>P</v>
      </c>
      <c r="W9" s="2" t="str">
        <f>VLOOKUP($A9&amp;W$2,Sheet2!$D$1:$F$601,3,0)</f>
        <v>P</v>
      </c>
      <c r="X9" s="2" t="str">
        <f>VLOOKUP($A9&amp;X$2,Sheet2!$D$1:$F$601,3,0)</f>
        <v>P</v>
      </c>
      <c r="Y9" s="2" t="s">
        <v>174</v>
      </c>
      <c r="Z9" s="2" t="str">
        <f>VLOOKUP($A9&amp;Z$2,Sheet2!$D$1:$F$601,3,0)</f>
        <v>P</v>
      </c>
      <c r="AA9" s="2" t="str">
        <f>VLOOKUP($A9&amp;AA$2,Sheet2!$D$1:$F$601,3,0)</f>
        <v>L</v>
      </c>
      <c r="AB9" s="2" t="str">
        <f>VLOOKUP($A9&amp;AB$2,Sheet2!$D$1:$F$601,3,0)</f>
        <v>L</v>
      </c>
      <c r="AC9" s="2" t="str">
        <f>VLOOKUP($A9&amp;AC$2,Sheet2!$D$1:$F$601,3,0)</f>
        <v>P</v>
      </c>
      <c r="AD9" s="2" t="str">
        <f>VLOOKUP($A9&amp;AD$2,Sheet2!$D$1:$F$601,3,0)</f>
        <v>P</v>
      </c>
      <c r="AE9" s="2" t="str">
        <f>VLOOKUP($A9&amp;AE$2,Sheet2!$D$1:$F$601,3,0)</f>
        <v>L</v>
      </c>
      <c r="AF9" s="2" t="s">
        <v>174</v>
      </c>
      <c r="AG9" s="2" t="str">
        <f>VLOOKUP($A9&amp;AG$2,Sheet2!$D$1:$F$601,3,0)</f>
        <v>L</v>
      </c>
      <c r="AH9" s="2" t="str">
        <f>VLOOKUP($A9&amp;AH$2,Sheet2!$D$1:$F$601,3,0)</f>
        <v>P</v>
      </c>
      <c r="AI9" s="2" t="str">
        <f>VLOOKUP($A9&amp;AI$2,Sheet2!$D$1:$F$601,3,0)</f>
        <v>P</v>
      </c>
      <c r="AJ9" s="2" t="str">
        <f>VLOOKUP($A9&amp;AJ$2,Sheet2!$D$1:$F$601,3,0)</f>
        <v>P</v>
      </c>
      <c r="AK9" s="2" t="str">
        <f>VLOOKUP($A9&amp;AK$2,Sheet2!$D$1:$F$601,3,0)</f>
        <v>P</v>
      </c>
      <c r="AL9" s="2" t="str">
        <f>VLOOKUP($A9&amp;AL$2,Sheet2!$D$1:$F$601,3,0)</f>
        <v>P</v>
      </c>
      <c r="AM9" s="2" t="s">
        <v>174</v>
      </c>
      <c r="AN9" s="2" t="str">
        <f>VLOOKUP($A9&amp;AN$2,Sheet2!$D$1:$F$601,3,0)</f>
        <v>P</v>
      </c>
      <c r="AO9" s="2" t="str">
        <f>VLOOKUP($A9&amp;AO$2,Sheet2!$D$1:$F$601,3,0)</f>
        <v>P</v>
      </c>
      <c r="AP9" s="2" t="str">
        <f>VLOOKUP($A9&amp;AP$2,Sheet2!$D$1:$F$601,3,0)</f>
        <v>P</v>
      </c>
      <c r="AQ9" s="2" t="str">
        <f>VLOOKUP($A9&amp;AQ$2,Sheet2!$D$1:$F$601,3,0)</f>
        <v>L</v>
      </c>
      <c r="AR9" s="2" t="str">
        <f>VLOOKUP($A9&amp;AR$2,Sheet2!$D$1:$F$601,3,0)</f>
        <v>P</v>
      </c>
      <c r="AS9" s="2" t="str">
        <f>VLOOKUP($A9&amp;AS$2,Sheet2!$D$1:$F$601,3,0)</f>
        <v>P</v>
      </c>
      <c r="AT9" s="2" t="s">
        <v>174</v>
      </c>
      <c r="AU9" s="2" t="str">
        <f>VLOOKUP($A9&amp;AU$2,Sheet2!$D$1:$F$601,3,0)</f>
        <v>L</v>
      </c>
      <c r="AV9" s="2" t="str">
        <f>VLOOKUP($A9&amp;AV$2,Sheet2!$D$1:$F$601,3,0)</f>
        <v>P</v>
      </c>
      <c r="AW9" s="2">
        <f t="shared" si="1"/>
        <v>18</v>
      </c>
      <c r="AX9" s="2">
        <f t="shared" si="2"/>
        <v>0</v>
      </c>
      <c r="AY9" s="2">
        <f t="shared" si="3"/>
        <v>0</v>
      </c>
      <c r="AZ9" s="2">
        <f t="shared" si="4"/>
        <v>8</v>
      </c>
      <c r="BA9" s="2">
        <f t="shared" si="5"/>
        <v>4</v>
      </c>
      <c r="BB9" s="2">
        <f t="shared" si="6"/>
        <v>0</v>
      </c>
      <c r="BC9" s="2">
        <f t="shared" si="7"/>
        <v>23</v>
      </c>
      <c r="BD9" s="2">
        <v>14000</v>
      </c>
      <c r="BE9" s="3">
        <f t="shared" si="8"/>
        <v>10733.333333333334</v>
      </c>
      <c r="BF9" s="3">
        <f t="shared" si="9"/>
        <v>2146.666666666667</v>
      </c>
      <c r="BG9" s="3">
        <f t="shared" si="10"/>
        <v>4293.3333333333339</v>
      </c>
      <c r="BH9" s="3">
        <v>1687</v>
      </c>
      <c r="BI9" s="3">
        <f>VLOOKUP(A9,Sheet3!$A$1:$E$21,5,0)</f>
        <v>0</v>
      </c>
      <c r="BJ9" s="3">
        <f t="shared" si="11"/>
        <v>18860.333333333336</v>
      </c>
      <c r="BK9" s="3">
        <f t="shared" si="12"/>
        <v>1545.6</v>
      </c>
      <c r="BL9" s="13">
        <f t="shared" si="13"/>
        <v>141.45250000000001</v>
      </c>
      <c r="BM9" s="3">
        <f t="shared" si="14"/>
        <v>472.69599999999997</v>
      </c>
      <c r="BN9" s="3">
        <f t="shared" si="15"/>
        <v>1072.904</v>
      </c>
      <c r="BO9" s="3">
        <f t="shared" si="16"/>
        <v>612.96083333333343</v>
      </c>
      <c r="BP9" s="2">
        <f t="shared" si="17"/>
        <v>100</v>
      </c>
      <c r="BQ9" s="3">
        <f t="shared" si="18"/>
        <v>0</v>
      </c>
      <c r="BR9" s="2">
        <v>0</v>
      </c>
      <c r="BS9" s="3">
        <f t="shared" si="19"/>
        <v>17073.280833333338</v>
      </c>
    </row>
    <row r="10" spans="1:71" x14ac:dyDescent="0.25">
      <c r="A10" s="2" t="s">
        <v>26</v>
      </c>
      <c r="B10" s="2" t="s">
        <v>27</v>
      </c>
      <c r="C10" s="2" t="s">
        <v>10</v>
      </c>
      <c r="D10" s="2" t="s">
        <v>11</v>
      </c>
      <c r="E10" s="2">
        <v>6397442982</v>
      </c>
      <c r="F10" s="3">
        <v>968194229213</v>
      </c>
      <c r="G10" s="2">
        <v>5793510605</v>
      </c>
      <c r="H10" s="2">
        <v>8480553257</v>
      </c>
      <c r="I10" s="2">
        <v>5793510605</v>
      </c>
      <c r="J10" s="2">
        <v>4009807929</v>
      </c>
      <c r="K10" s="2" t="s">
        <v>107</v>
      </c>
      <c r="L10" s="3">
        <v>570980210728</v>
      </c>
      <c r="M10" s="2" t="s">
        <v>108</v>
      </c>
      <c r="N10" s="2" t="s">
        <v>109</v>
      </c>
      <c r="O10" s="2">
        <v>108765</v>
      </c>
      <c r="P10" s="4">
        <v>44730</v>
      </c>
      <c r="Q10" s="2" t="s">
        <v>80</v>
      </c>
      <c r="R10" s="6" t="s">
        <v>110</v>
      </c>
      <c r="S10" s="2" t="str">
        <f>VLOOKUP($A10&amp;S$2,Sheet2!$D$1:$F$601,3,0)</f>
        <v>P</v>
      </c>
      <c r="T10" s="2" t="str">
        <f>VLOOKUP($A10&amp;T$2,Sheet2!$D$1:$F$601,3,0)</f>
        <v>P</v>
      </c>
      <c r="U10" s="2" t="str">
        <f>VLOOKUP($A10&amp;U$2,Sheet2!$D$1:$F$601,3,0)</f>
        <v>P</v>
      </c>
      <c r="V10" s="2" t="str">
        <f>VLOOKUP($A10&amp;V$2,Sheet2!$D$1:$F$601,3,0)</f>
        <v>P</v>
      </c>
      <c r="W10" s="2" t="str">
        <f>VLOOKUP($A10&amp;W$2,Sheet2!$D$1:$F$601,3,0)</f>
        <v>L</v>
      </c>
      <c r="X10" s="2" t="str">
        <f>VLOOKUP($A10&amp;X$2,Sheet2!$D$1:$F$601,3,0)</f>
        <v>P</v>
      </c>
      <c r="Y10" s="2" t="s">
        <v>174</v>
      </c>
      <c r="Z10" s="2" t="str">
        <f>VLOOKUP($A10&amp;Z$2,Sheet2!$D$1:$F$601,3,0)</f>
        <v>P</v>
      </c>
      <c r="AA10" s="2" t="str">
        <f>VLOOKUP($A10&amp;AA$2,Sheet2!$D$1:$F$601,3,0)</f>
        <v>P</v>
      </c>
      <c r="AB10" s="2" t="str">
        <f>VLOOKUP($A10&amp;AB$2,Sheet2!$D$1:$F$601,3,0)</f>
        <v>P</v>
      </c>
      <c r="AC10" s="2" t="str">
        <f>VLOOKUP($A10&amp;AC$2,Sheet2!$D$1:$F$601,3,0)</f>
        <v>P</v>
      </c>
      <c r="AD10" s="2" t="str">
        <f>VLOOKUP($A10&amp;AD$2,Sheet2!$D$1:$F$601,3,0)</f>
        <v>A</v>
      </c>
      <c r="AE10" s="2" t="str">
        <f>VLOOKUP($A10&amp;AE$2,Sheet2!$D$1:$F$601,3,0)</f>
        <v>A</v>
      </c>
      <c r="AF10" s="2" t="s">
        <v>174</v>
      </c>
      <c r="AG10" s="2" t="str">
        <f>VLOOKUP($A10&amp;AG$2,Sheet2!$D$1:$F$601,3,0)</f>
        <v>P</v>
      </c>
      <c r="AH10" s="2" t="str">
        <f>VLOOKUP($A10&amp;AH$2,Sheet2!$D$1:$F$601,3,0)</f>
        <v>P</v>
      </c>
      <c r="AI10" s="2" t="str">
        <f>VLOOKUP($A10&amp;AI$2,Sheet2!$D$1:$F$601,3,0)</f>
        <v>A</v>
      </c>
      <c r="AJ10" s="2" t="str">
        <f>VLOOKUP($A10&amp;AJ$2,Sheet2!$D$1:$F$601,3,0)</f>
        <v>P</v>
      </c>
      <c r="AK10" s="2" t="str">
        <f>VLOOKUP($A10&amp;AK$2,Sheet2!$D$1:$F$601,3,0)</f>
        <v>L</v>
      </c>
      <c r="AL10" s="2" t="str">
        <f>VLOOKUP($A10&amp;AL$2,Sheet2!$D$1:$F$601,3,0)</f>
        <v>P</v>
      </c>
      <c r="AM10" s="2" t="s">
        <v>174</v>
      </c>
      <c r="AN10" s="2" t="str">
        <f>VLOOKUP($A10&amp;AN$2,Sheet2!$D$1:$F$601,3,0)</f>
        <v>P</v>
      </c>
      <c r="AO10" s="2" t="str">
        <f>VLOOKUP($A10&amp;AO$2,Sheet2!$D$1:$F$601,3,0)</f>
        <v>L</v>
      </c>
      <c r="AP10" s="2" t="str">
        <f>VLOOKUP($A10&amp;AP$2,Sheet2!$D$1:$F$601,3,0)</f>
        <v>P</v>
      </c>
      <c r="AQ10" s="2" t="str">
        <f>VLOOKUP($A10&amp;AQ$2,Sheet2!$D$1:$F$601,3,0)</f>
        <v>A</v>
      </c>
      <c r="AR10" s="2" t="str">
        <f>VLOOKUP($A10&amp;AR$2,Sheet2!$D$1:$F$601,3,0)</f>
        <v>P</v>
      </c>
      <c r="AS10" s="2" t="str">
        <f>VLOOKUP($A10&amp;AS$2,Sheet2!$D$1:$F$601,3,0)</f>
        <v>P</v>
      </c>
      <c r="AT10" s="2" t="s">
        <v>174</v>
      </c>
      <c r="AU10" s="2" t="str">
        <f>VLOOKUP($A10&amp;AU$2,Sheet2!$D$1:$F$601,3,0)</f>
        <v>P</v>
      </c>
      <c r="AV10" s="2" t="str">
        <f>VLOOKUP($A10&amp;AV$2,Sheet2!$D$1:$F$601,3,0)</f>
        <v>P</v>
      </c>
      <c r="AW10" s="2">
        <f t="shared" si="1"/>
        <v>19</v>
      </c>
      <c r="AX10" s="2">
        <f t="shared" si="2"/>
        <v>4</v>
      </c>
      <c r="AY10" s="2">
        <f t="shared" si="3"/>
        <v>0</v>
      </c>
      <c r="AZ10" s="2">
        <f t="shared" si="4"/>
        <v>3</v>
      </c>
      <c r="BA10" s="2">
        <f t="shared" si="5"/>
        <v>4</v>
      </c>
      <c r="BB10" s="2">
        <f t="shared" si="6"/>
        <v>0</v>
      </c>
      <c r="BC10" s="2">
        <f t="shared" si="7"/>
        <v>24</v>
      </c>
      <c r="BD10" s="2">
        <v>15000</v>
      </c>
      <c r="BE10" s="3">
        <f t="shared" si="8"/>
        <v>12000</v>
      </c>
      <c r="BF10" s="3">
        <f t="shared" si="9"/>
        <v>2400</v>
      </c>
      <c r="BG10" s="3">
        <f t="shared" si="10"/>
        <v>4800</v>
      </c>
      <c r="BH10" s="3">
        <v>2740</v>
      </c>
      <c r="BI10" s="3">
        <f>VLOOKUP(A10,Sheet3!$A$1:$E$21,5,0)</f>
        <v>0</v>
      </c>
      <c r="BJ10" s="3">
        <f t="shared" si="11"/>
        <v>21940</v>
      </c>
      <c r="BK10" s="3">
        <f t="shared" si="12"/>
        <v>1728</v>
      </c>
      <c r="BL10" s="13">
        <f t="shared" si="13"/>
        <v>0</v>
      </c>
      <c r="BM10" s="3">
        <f t="shared" si="14"/>
        <v>528.4799999999999</v>
      </c>
      <c r="BN10" s="3">
        <f t="shared" si="15"/>
        <v>1199.52</v>
      </c>
      <c r="BO10" s="3">
        <f t="shared" si="16"/>
        <v>0</v>
      </c>
      <c r="BP10" s="2">
        <f t="shared" si="17"/>
        <v>150</v>
      </c>
      <c r="BQ10" s="3">
        <f t="shared" si="18"/>
        <v>0</v>
      </c>
      <c r="BR10" s="2">
        <v>2000</v>
      </c>
      <c r="BS10" s="3">
        <f t="shared" si="19"/>
        <v>18062</v>
      </c>
    </row>
    <row r="11" spans="1:71" x14ac:dyDescent="0.25">
      <c r="A11" s="2" t="s">
        <v>28</v>
      </c>
      <c r="B11" s="2" t="s">
        <v>29</v>
      </c>
      <c r="C11" s="2" t="s">
        <v>30</v>
      </c>
      <c r="D11" s="2" t="s">
        <v>31</v>
      </c>
      <c r="E11" s="2">
        <v>5634207864</v>
      </c>
      <c r="F11" s="3">
        <v>535246406726</v>
      </c>
      <c r="G11" s="2">
        <v>5418940820</v>
      </c>
      <c r="H11" s="2">
        <v>2769236176</v>
      </c>
      <c r="I11" s="2">
        <v>5418940820</v>
      </c>
      <c r="J11" s="2">
        <v>7471568060</v>
      </c>
      <c r="K11" s="2" t="s">
        <v>111</v>
      </c>
      <c r="L11" s="3">
        <v>948971962006</v>
      </c>
      <c r="M11" s="2" t="s">
        <v>112</v>
      </c>
      <c r="N11" s="2" t="s">
        <v>113</v>
      </c>
      <c r="O11" s="2">
        <v>929078</v>
      </c>
      <c r="P11" s="4">
        <v>45763</v>
      </c>
      <c r="Q11" s="2" t="s">
        <v>80</v>
      </c>
      <c r="R11" s="6" t="s">
        <v>114</v>
      </c>
      <c r="S11" s="2" t="str">
        <f>VLOOKUP($A11&amp;S$2,Sheet2!$D$1:$F$601,3,0)</f>
        <v>P</v>
      </c>
      <c r="T11" s="2" t="str">
        <f>VLOOKUP($A11&amp;T$2,Sheet2!$D$1:$F$601,3,0)</f>
        <v>P</v>
      </c>
      <c r="U11" s="2" t="str">
        <f>VLOOKUP($A11&amp;U$2,Sheet2!$D$1:$F$601,3,0)</f>
        <v>P</v>
      </c>
      <c r="V11" s="2" t="str">
        <f>VLOOKUP($A11&amp;V$2,Sheet2!$D$1:$F$601,3,0)</f>
        <v>P</v>
      </c>
      <c r="W11" s="2" t="str">
        <f>VLOOKUP($A11&amp;W$2,Sheet2!$D$1:$F$601,3,0)</f>
        <v>P</v>
      </c>
      <c r="X11" s="2" t="str">
        <f>VLOOKUP($A11&amp;X$2,Sheet2!$D$1:$F$601,3,0)</f>
        <v>A</v>
      </c>
      <c r="Y11" s="2" t="s">
        <v>174</v>
      </c>
      <c r="Z11" s="2" t="str">
        <f>VLOOKUP($A11&amp;Z$2,Sheet2!$D$1:$F$601,3,0)</f>
        <v>L</v>
      </c>
      <c r="AA11" s="2" t="str">
        <f>VLOOKUP($A11&amp;AA$2,Sheet2!$D$1:$F$601,3,0)</f>
        <v>A</v>
      </c>
      <c r="AB11" s="2" t="str">
        <f>VLOOKUP($A11&amp;AB$2,Sheet2!$D$1:$F$601,3,0)</f>
        <v>P</v>
      </c>
      <c r="AC11" s="2" t="str">
        <f>VLOOKUP($A11&amp;AC$2,Sheet2!$D$1:$F$601,3,0)</f>
        <v>P</v>
      </c>
      <c r="AD11" s="2" t="str">
        <f>VLOOKUP($A11&amp;AD$2,Sheet2!$D$1:$F$601,3,0)</f>
        <v>P</v>
      </c>
      <c r="AE11" s="2" t="str">
        <f>VLOOKUP($A11&amp;AE$2,Sheet2!$D$1:$F$601,3,0)</f>
        <v>P</v>
      </c>
      <c r="AF11" s="2" t="s">
        <v>174</v>
      </c>
      <c r="AG11" s="2" t="str">
        <f>VLOOKUP($A11&amp;AG$2,Sheet2!$D$1:$F$601,3,0)</f>
        <v>P</v>
      </c>
      <c r="AH11" s="2" t="str">
        <f>VLOOKUP($A11&amp;AH$2,Sheet2!$D$1:$F$601,3,0)</f>
        <v>P</v>
      </c>
      <c r="AI11" s="2" t="str">
        <f>VLOOKUP($A11&amp;AI$2,Sheet2!$D$1:$F$601,3,0)</f>
        <v>L</v>
      </c>
      <c r="AJ11" s="2" t="str">
        <f>VLOOKUP($A11&amp;AJ$2,Sheet2!$D$1:$F$601,3,0)</f>
        <v>P</v>
      </c>
      <c r="AK11" s="2" t="str">
        <f>VLOOKUP($A11&amp;AK$2,Sheet2!$D$1:$F$601,3,0)</f>
        <v>P</v>
      </c>
      <c r="AL11" s="2" t="str">
        <f>VLOOKUP($A11&amp;AL$2,Sheet2!$D$1:$F$601,3,0)</f>
        <v>A</v>
      </c>
      <c r="AM11" s="2" t="s">
        <v>174</v>
      </c>
      <c r="AN11" s="2" t="str">
        <f>VLOOKUP($A11&amp;AN$2,Sheet2!$D$1:$F$601,3,0)</f>
        <v>P</v>
      </c>
      <c r="AO11" s="2" t="str">
        <f>VLOOKUP($A11&amp;AO$2,Sheet2!$D$1:$F$601,3,0)</f>
        <v>P</v>
      </c>
      <c r="AP11" s="2" t="str">
        <f>VLOOKUP($A11&amp;AP$2,Sheet2!$D$1:$F$601,3,0)</f>
        <v>P</v>
      </c>
      <c r="AQ11" s="2" t="str">
        <f>VLOOKUP($A11&amp;AQ$2,Sheet2!$D$1:$F$601,3,0)</f>
        <v>P</v>
      </c>
      <c r="AR11" s="2" t="str">
        <f>VLOOKUP($A11&amp;AR$2,Sheet2!$D$1:$F$601,3,0)</f>
        <v>P</v>
      </c>
      <c r="AS11" s="2" t="str">
        <f>VLOOKUP($A11&amp;AS$2,Sheet2!$D$1:$F$601,3,0)</f>
        <v>P</v>
      </c>
      <c r="AT11" s="2" t="s">
        <v>174</v>
      </c>
      <c r="AU11" s="2" t="str">
        <f>VLOOKUP($A11&amp;AU$2,Sheet2!$D$1:$F$601,3,0)</f>
        <v>L</v>
      </c>
      <c r="AV11" s="2" t="str">
        <f>VLOOKUP($A11&amp;AV$2,Sheet2!$D$1:$F$601,3,0)</f>
        <v>P</v>
      </c>
      <c r="AW11" s="2">
        <f t="shared" si="1"/>
        <v>20</v>
      </c>
      <c r="AX11" s="2">
        <f t="shared" si="2"/>
        <v>3</v>
      </c>
      <c r="AY11" s="2">
        <f t="shared" si="3"/>
        <v>0</v>
      </c>
      <c r="AZ11" s="2">
        <f t="shared" si="4"/>
        <v>3</v>
      </c>
      <c r="BA11" s="2">
        <f t="shared" si="5"/>
        <v>4</v>
      </c>
      <c r="BB11" s="2">
        <f t="shared" si="6"/>
        <v>0</v>
      </c>
      <c r="BC11" s="2">
        <f t="shared" si="7"/>
        <v>25</v>
      </c>
      <c r="BD11" s="2">
        <v>16000</v>
      </c>
      <c r="BE11" s="3">
        <f t="shared" si="8"/>
        <v>13333.333333333334</v>
      </c>
      <c r="BF11" s="3">
        <f t="shared" si="9"/>
        <v>2666.666666666667</v>
      </c>
      <c r="BG11" s="3">
        <f t="shared" si="10"/>
        <v>5333.3333333333339</v>
      </c>
      <c r="BH11" s="3">
        <v>1434</v>
      </c>
      <c r="BI11" s="3">
        <f>VLOOKUP(A11,Sheet3!$A$1:$E$21,5,0)</f>
        <v>5690.4500000000007</v>
      </c>
      <c r="BJ11" s="3">
        <f t="shared" si="11"/>
        <v>28457.783333333336</v>
      </c>
      <c r="BK11" s="3">
        <f t="shared" si="12"/>
        <v>1800</v>
      </c>
      <c r="BL11" s="13">
        <f t="shared" si="13"/>
        <v>0</v>
      </c>
      <c r="BM11" s="3">
        <f t="shared" si="14"/>
        <v>550.5</v>
      </c>
      <c r="BN11" s="3">
        <f t="shared" si="15"/>
        <v>1249.5</v>
      </c>
      <c r="BO11" s="3">
        <f t="shared" si="16"/>
        <v>0</v>
      </c>
      <c r="BP11" s="2">
        <f t="shared" si="17"/>
        <v>200</v>
      </c>
      <c r="BQ11" s="3">
        <f t="shared" si="18"/>
        <v>0</v>
      </c>
      <c r="BR11" s="2">
        <v>0</v>
      </c>
      <c r="BS11" s="3">
        <f t="shared" si="19"/>
        <v>26457.783333333336</v>
      </c>
    </row>
    <row r="12" spans="1:71" x14ac:dyDescent="0.25">
      <c r="A12" s="2" t="s">
        <v>32</v>
      </c>
      <c r="B12" s="2" t="s">
        <v>33</v>
      </c>
      <c r="C12" s="2" t="s">
        <v>10</v>
      </c>
      <c r="D12" s="2" t="s">
        <v>20</v>
      </c>
      <c r="E12" s="2">
        <v>3503836965</v>
      </c>
      <c r="F12" s="3">
        <v>203135355315</v>
      </c>
      <c r="G12" s="2">
        <v>3738087416</v>
      </c>
      <c r="H12" s="2">
        <v>9081144879</v>
      </c>
      <c r="I12" s="2">
        <v>3738087416</v>
      </c>
      <c r="J12" s="2">
        <v>9437660696</v>
      </c>
      <c r="K12" s="2" t="s">
        <v>115</v>
      </c>
      <c r="L12" s="3">
        <v>158139048082</v>
      </c>
      <c r="M12" s="2" t="s">
        <v>116</v>
      </c>
      <c r="N12" s="2" t="s">
        <v>117</v>
      </c>
      <c r="O12" s="2">
        <v>879330</v>
      </c>
      <c r="P12" s="4">
        <v>42296</v>
      </c>
      <c r="Q12" s="2" t="s">
        <v>97</v>
      </c>
      <c r="R12" s="6" t="s">
        <v>118</v>
      </c>
      <c r="S12" s="2" t="str">
        <f>VLOOKUP($A12&amp;S$2,Sheet2!$D$1:$F$601,3,0)</f>
        <v>A</v>
      </c>
      <c r="T12" s="2" t="str">
        <f>VLOOKUP($A12&amp;T$2,Sheet2!$D$1:$F$601,3,0)</f>
        <v>P</v>
      </c>
      <c r="U12" s="2" t="str">
        <f>VLOOKUP($A12&amp;U$2,Sheet2!$D$1:$F$601,3,0)</f>
        <v>A</v>
      </c>
      <c r="V12" s="2" t="str">
        <f>VLOOKUP($A12&amp;V$2,Sheet2!$D$1:$F$601,3,0)</f>
        <v>P</v>
      </c>
      <c r="W12" s="2" t="str">
        <f>VLOOKUP($A12&amp;W$2,Sheet2!$D$1:$F$601,3,0)</f>
        <v>L</v>
      </c>
      <c r="X12" s="2" t="str">
        <f>VLOOKUP($A12&amp;X$2,Sheet2!$D$1:$F$601,3,0)</f>
        <v>A</v>
      </c>
      <c r="Y12" s="2" t="s">
        <v>174</v>
      </c>
      <c r="Z12" s="2" t="str">
        <f>VLOOKUP($A12&amp;Z$2,Sheet2!$D$1:$F$601,3,0)</f>
        <v>P</v>
      </c>
      <c r="AA12" s="2" t="str">
        <f>VLOOKUP($A12&amp;AA$2,Sheet2!$D$1:$F$601,3,0)</f>
        <v>P</v>
      </c>
      <c r="AB12" s="2" t="str">
        <f>VLOOKUP($A12&amp;AB$2,Sheet2!$D$1:$F$601,3,0)</f>
        <v>P</v>
      </c>
      <c r="AC12" s="2" t="str">
        <f>VLOOKUP($A12&amp;AC$2,Sheet2!$D$1:$F$601,3,0)</f>
        <v>P</v>
      </c>
      <c r="AD12" s="2" t="str">
        <f>VLOOKUP($A12&amp;AD$2,Sheet2!$D$1:$F$601,3,0)</f>
        <v>P</v>
      </c>
      <c r="AE12" s="2" t="str">
        <f>VLOOKUP($A12&amp;AE$2,Sheet2!$D$1:$F$601,3,0)</f>
        <v>P</v>
      </c>
      <c r="AF12" s="2" t="s">
        <v>174</v>
      </c>
      <c r="AG12" s="2" t="str">
        <f>VLOOKUP($A12&amp;AG$2,Sheet2!$D$1:$F$601,3,0)</f>
        <v>L</v>
      </c>
      <c r="AH12" s="2" t="str">
        <f>VLOOKUP($A12&amp;AH$2,Sheet2!$D$1:$F$601,3,0)</f>
        <v>P</v>
      </c>
      <c r="AI12" s="2" t="str">
        <f>VLOOKUP($A12&amp;AI$2,Sheet2!$D$1:$F$601,3,0)</f>
        <v>L</v>
      </c>
      <c r="AJ12" s="2" t="str">
        <f>VLOOKUP($A12&amp;AJ$2,Sheet2!$D$1:$F$601,3,0)</f>
        <v>P</v>
      </c>
      <c r="AK12" s="2" t="str">
        <f>VLOOKUP($A12&amp;AK$2,Sheet2!$D$1:$F$601,3,0)</f>
        <v>P</v>
      </c>
      <c r="AL12" s="2" t="str">
        <f>VLOOKUP($A12&amp;AL$2,Sheet2!$D$1:$F$601,3,0)</f>
        <v>P</v>
      </c>
      <c r="AM12" s="2" t="s">
        <v>174</v>
      </c>
      <c r="AN12" s="2" t="str">
        <f>VLOOKUP($A12&amp;AN$2,Sheet2!$D$1:$F$601,3,0)</f>
        <v>A</v>
      </c>
      <c r="AO12" s="2" t="str">
        <f>VLOOKUP($A12&amp;AO$2,Sheet2!$D$1:$F$601,3,0)</f>
        <v>P</v>
      </c>
      <c r="AP12" s="2" t="str">
        <f>VLOOKUP($A12&amp;AP$2,Sheet2!$D$1:$F$601,3,0)</f>
        <v>P</v>
      </c>
      <c r="AQ12" s="2" t="str">
        <f>VLOOKUP($A12&amp;AQ$2,Sheet2!$D$1:$F$601,3,0)</f>
        <v>P</v>
      </c>
      <c r="AR12" s="2" t="str">
        <f>VLOOKUP($A12&amp;AR$2,Sheet2!$D$1:$F$601,3,0)</f>
        <v>P</v>
      </c>
      <c r="AS12" s="2" t="str">
        <f>VLOOKUP($A12&amp;AS$2,Sheet2!$D$1:$F$601,3,0)</f>
        <v>P</v>
      </c>
      <c r="AT12" s="2" t="s">
        <v>174</v>
      </c>
      <c r="AU12" s="2" t="str">
        <f>VLOOKUP($A12&amp;AU$2,Sheet2!$D$1:$F$601,3,0)</f>
        <v>L</v>
      </c>
      <c r="AV12" s="2" t="str">
        <f>VLOOKUP($A12&amp;AV$2,Sheet2!$D$1:$F$601,3,0)</f>
        <v>P</v>
      </c>
      <c r="AW12" s="2">
        <f t="shared" si="1"/>
        <v>18</v>
      </c>
      <c r="AX12" s="2">
        <f t="shared" si="2"/>
        <v>4</v>
      </c>
      <c r="AY12" s="2">
        <f t="shared" si="3"/>
        <v>0</v>
      </c>
      <c r="AZ12" s="2">
        <f t="shared" si="4"/>
        <v>4</v>
      </c>
      <c r="BA12" s="2">
        <f t="shared" si="5"/>
        <v>4</v>
      </c>
      <c r="BB12" s="2">
        <f t="shared" si="6"/>
        <v>0</v>
      </c>
      <c r="BC12" s="2">
        <f t="shared" si="7"/>
        <v>23</v>
      </c>
      <c r="BD12" s="2">
        <v>13000</v>
      </c>
      <c r="BE12" s="3">
        <f t="shared" si="8"/>
        <v>9966.6666666666661</v>
      </c>
      <c r="BF12" s="3">
        <f t="shared" si="9"/>
        <v>1993.3333333333333</v>
      </c>
      <c r="BG12" s="3">
        <f t="shared" si="10"/>
        <v>3986.6666666666665</v>
      </c>
      <c r="BH12" s="3">
        <v>2175</v>
      </c>
      <c r="BI12" s="3">
        <f>VLOOKUP(A12,Sheet3!$A$1:$E$21,5,0)</f>
        <v>0</v>
      </c>
      <c r="BJ12" s="3">
        <f t="shared" si="11"/>
        <v>18121.666666666664</v>
      </c>
      <c r="BK12" s="3">
        <f t="shared" si="12"/>
        <v>1435.2</v>
      </c>
      <c r="BL12" s="13">
        <f t="shared" si="13"/>
        <v>135.91249999999997</v>
      </c>
      <c r="BM12" s="3">
        <f t="shared" si="14"/>
        <v>438.93199999999996</v>
      </c>
      <c r="BN12" s="3">
        <f t="shared" si="15"/>
        <v>996.26800000000003</v>
      </c>
      <c r="BO12" s="3">
        <f t="shared" si="16"/>
        <v>588.95416666666665</v>
      </c>
      <c r="BP12" s="2">
        <f t="shared" si="17"/>
        <v>100</v>
      </c>
      <c r="BQ12" s="3">
        <f t="shared" si="18"/>
        <v>0</v>
      </c>
      <c r="BR12" s="2">
        <v>0</v>
      </c>
      <c r="BS12" s="3">
        <f t="shared" si="19"/>
        <v>16450.554166666665</v>
      </c>
    </row>
    <row r="13" spans="1:71" x14ac:dyDescent="0.25">
      <c r="A13" s="2" t="s">
        <v>34</v>
      </c>
      <c r="B13" s="2" t="s">
        <v>35</v>
      </c>
      <c r="C13" s="2" t="s">
        <v>36</v>
      </c>
      <c r="D13" s="2" t="s">
        <v>31</v>
      </c>
      <c r="E13" s="2">
        <v>7296665345</v>
      </c>
      <c r="F13" s="3">
        <v>560997924220</v>
      </c>
      <c r="G13" s="2">
        <v>6441833398</v>
      </c>
      <c r="H13" s="2">
        <v>1646095808</v>
      </c>
      <c r="I13" s="2">
        <v>6441833398</v>
      </c>
      <c r="J13" s="2">
        <v>9081567387</v>
      </c>
      <c r="K13" s="2" t="s">
        <v>119</v>
      </c>
      <c r="L13" s="3">
        <v>722672822348</v>
      </c>
      <c r="M13" s="2" t="s">
        <v>120</v>
      </c>
      <c r="N13" s="2" t="s">
        <v>121</v>
      </c>
      <c r="O13" s="2">
        <v>128288</v>
      </c>
      <c r="P13" s="4">
        <v>44656</v>
      </c>
      <c r="Q13" s="2" t="s">
        <v>97</v>
      </c>
      <c r="R13" s="6" t="s">
        <v>122</v>
      </c>
      <c r="S13" s="2" t="str">
        <f>VLOOKUP($A13&amp;S$2,Sheet2!$D$1:$F$601,3,0)</f>
        <v>P</v>
      </c>
      <c r="T13" s="2" t="str">
        <f>VLOOKUP($A13&amp;T$2,Sheet2!$D$1:$F$601,3,0)</f>
        <v>P</v>
      </c>
      <c r="U13" s="2" t="str">
        <f>VLOOKUP($A13&amp;U$2,Sheet2!$D$1:$F$601,3,0)</f>
        <v>P</v>
      </c>
      <c r="V13" s="2" t="str">
        <f>VLOOKUP($A13&amp;V$2,Sheet2!$D$1:$F$601,3,0)</f>
        <v>P</v>
      </c>
      <c r="W13" s="2" t="str">
        <f>VLOOKUP($A13&amp;W$2,Sheet2!$D$1:$F$601,3,0)</f>
        <v>P</v>
      </c>
      <c r="X13" s="2" t="str">
        <f>VLOOKUP($A13&amp;X$2,Sheet2!$D$1:$F$601,3,0)</f>
        <v>L</v>
      </c>
      <c r="Y13" s="2" t="s">
        <v>174</v>
      </c>
      <c r="Z13" s="2" t="str">
        <f>VLOOKUP($A13&amp;Z$2,Sheet2!$D$1:$F$601,3,0)</f>
        <v>P</v>
      </c>
      <c r="AA13" s="2" t="str">
        <f>VLOOKUP($A13&amp;AA$2,Sheet2!$D$1:$F$601,3,0)</f>
        <v>P</v>
      </c>
      <c r="AB13" s="2" t="str">
        <f>VLOOKUP($A13&amp;AB$2,Sheet2!$D$1:$F$601,3,0)</f>
        <v>P</v>
      </c>
      <c r="AC13" s="2" t="str">
        <f>VLOOKUP($A13&amp;AC$2,Sheet2!$D$1:$F$601,3,0)</f>
        <v>L</v>
      </c>
      <c r="AD13" s="2" t="str">
        <f>VLOOKUP($A13&amp;AD$2,Sheet2!$D$1:$F$601,3,0)</f>
        <v>P</v>
      </c>
      <c r="AE13" s="2" t="str">
        <f>VLOOKUP($A13&amp;AE$2,Sheet2!$D$1:$F$601,3,0)</f>
        <v>P</v>
      </c>
      <c r="AF13" s="2" t="s">
        <v>174</v>
      </c>
      <c r="AG13" s="2" t="str">
        <f>VLOOKUP($A13&amp;AG$2,Sheet2!$D$1:$F$601,3,0)</f>
        <v>A</v>
      </c>
      <c r="AH13" s="2" t="str">
        <f>VLOOKUP($A13&amp;AH$2,Sheet2!$D$1:$F$601,3,0)</f>
        <v>P</v>
      </c>
      <c r="AI13" s="2" t="str">
        <f>VLOOKUP($A13&amp;AI$2,Sheet2!$D$1:$F$601,3,0)</f>
        <v>P</v>
      </c>
      <c r="AJ13" s="2" t="str">
        <f>VLOOKUP($A13&amp;AJ$2,Sheet2!$D$1:$F$601,3,0)</f>
        <v>P</v>
      </c>
      <c r="AK13" s="2" t="str">
        <f>VLOOKUP($A13&amp;AK$2,Sheet2!$D$1:$F$601,3,0)</f>
        <v>P</v>
      </c>
      <c r="AL13" s="2" t="str">
        <f>VLOOKUP($A13&amp;AL$2,Sheet2!$D$1:$F$601,3,0)</f>
        <v>A</v>
      </c>
      <c r="AM13" s="2" t="s">
        <v>174</v>
      </c>
      <c r="AN13" s="2" t="str">
        <f>VLOOKUP($A13&amp;AN$2,Sheet2!$D$1:$F$601,3,0)</f>
        <v>P</v>
      </c>
      <c r="AO13" s="2" t="str">
        <f>VLOOKUP($A13&amp;AO$2,Sheet2!$D$1:$F$601,3,0)</f>
        <v>L</v>
      </c>
      <c r="AP13" s="2" t="str">
        <f>VLOOKUP($A13&amp;AP$2,Sheet2!$D$1:$F$601,3,0)</f>
        <v>P</v>
      </c>
      <c r="AQ13" s="2" t="str">
        <f>VLOOKUP($A13&amp;AQ$2,Sheet2!$D$1:$F$601,3,0)</f>
        <v>P</v>
      </c>
      <c r="AR13" s="2" t="str">
        <f>VLOOKUP($A13&amp;AR$2,Sheet2!$D$1:$F$601,3,0)</f>
        <v>L</v>
      </c>
      <c r="AS13" s="2" t="str">
        <f>VLOOKUP($A13&amp;AS$2,Sheet2!$D$1:$F$601,3,0)</f>
        <v>P</v>
      </c>
      <c r="AT13" s="2" t="s">
        <v>174</v>
      </c>
      <c r="AU13" s="2" t="str">
        <f>VLOOKUP($A13&amp;AU$2,Sheet2!$D$1:$F$601,3,0)</f>
        <v>P</v>
      </c>
      <c r="AV13" s="2" t="str">
        <f>VLOOKUP($A13&amp;AV$2,Sheet2!$D$1:$F$601,3,0)</f>
        <v>P</v>
      </c>
      <c r="AW13" s="2">
        <f t="shared" si="1"/>
        <v>20</v>
      </c>
      <c r="AX13" s="2">
        <f t="shared" si="2"/>
        <v>2</v>
      </c>
      <c r="AY13" s="2">
        <f t="shared" si="3"/>
        <v>0</v>
      </c>
      <c r="AZ13" s="2">
        <f t="shared" si="4"/>
        <v>4</v>
      </c>
      <c r="BA13" s="2">
        <f t="shared" si="5"/>
        <v>4</v>
      </c>
      <c r="BB13" s="2">
        <f t="shared" si="6"/>
        <v>0</v>
      </c>
      <c r="BC13" s="2">
        <f t="shared" si="7"/>
        <v>25</v>
      </c>
      <c r="BD13" s="2">
        <v>16000</v>
      </c>
      <c r="BE13" s="3">
        <f t="shared" si="8"/>
        <v>13333.333333333334</v>
      </c>
      <c r="BF13" s="3">
        <f t="shared" si="9"/>
        <v>2666.666666666667</v>
      </c>
      <c r="BG13" s="3">
        <f t="shared" si="10"/>
        <v>5333.3333333333339</v>
      </c>
      <c r="BH13" s="3">
        <v>1074</v>
      </c>
      <c r="BI13" s="3">
        <f>VLOOKUP(A13,Sheet3!$A$1:$E$21,5,0)</f>
        <v>0</v>
      </c>
      <c r="BJ13" s="3">
        <f t="shared" si="11"/>
        <v>22407.333333333336</v>
      </c>
      <c r="BK13" s="3">
        <f t="shared" si="12"/>
        <v>1800</v>
      </c>
      <c r="BL13" s="13">
        <f t="shared" si="13"/>
        <v>0</v>
      </c>
      <c r="BM13" s="3">
        <f t="shared" si="14"/>
        <v>550.5</v>
      </c>
      <c r="BN13" s="3">
        <f t="shared" si="15"/>
        <v>1249.5</v>
      </c>
      <c r="BO13" s="3">
        <f t="shared" si="16"/>
        <v>0</v>
      </c>
      <c r="BP13" s="2">
        <f t="shared" si="17"/>
        <v>150</v>
      </c>
      <c r="BQ13" s="3">
        <f t="shared" si="18"/>
        <v>0</v>
      </c>
      <c r="BR13" s="2">
        <v>0</v>
      </c>
      <c r="BS13" s="3">
        <f t="shared" si="19"/>
        <v>20457.333333333336</v>
      </c>
    </row>
    <row r="14" spans="1:71" x14ac:dyDescent="0.25">
      <c r="A14" s="2" t="s">
        <v>37</v>
      </c>
      <c r="B14" s="2" t="s">
        <v>38</v>
      </c>
      <c r="C14" s="2" t="s">
        <v>20</v>
      </c>
      <c r="D14" s="2" t="s">
        <v>7</v>
      </c>
      <c r="E14" s="2">
        <v>4546856423</v>
      </c>
      <c r="F14" s="3">
        <v>564959942032</v>
      </c>
      <c r="G14" s="2">
        <v>1323632199</v>
      </c>
      <c r="H14" s="2">
        <v>5566859975</v>
      </c>
      <c r="I14" s="2">
        <v>1323632199</v>
      </c>
      <c r="J14" s="2">
        <v>2379588259</v>
      </c>
      <c r="K14" s="2" t="s">
        <v>123</v>
      </c>
      <c r="L14" s="3">
        <v>169600867832</v>
      </c>
      <c r="M14" s="2" t="s">
        <v>124</v>
      </c>
      <c r="N14" s="2" t="s">
        <v>125</v>
      </c>
      <c r="O14" s="2">
        <v>477271</v>
      </c>
      <c r="P14" s="4">
        <v>43655</v>
      </c>
      <c r="Q14" s="2" t="s">
        <v>97</v>
      </c>
      <c r="R14" s="6" t="s">
        <v>126</v>
      </c>
      <c r="S14" s="2" t="str">
        <f>VLOOKUP($A14&amp;S$2,Sheet2!$D$1:$F$601,3,0)</f>
        <v>A</v>
      </c>
      <c r="T14" s="2" t="str">
        <f>VLOOKUP($A14&amp;T$2,Sheet2!$D$1:$F$601,3,0)</f>
        <v>P</v>
      </c>
      <c r="U14" s="2" t="str">
        <f>VLOOKUP($A14&amp;U$2,Sheet2!$D$1:$F$601,3,0)</f>
        <v>P</v>
      </c>
      <c r="V14" s="2" t="str">
        <f>VLOOKUP($A14&amp;V$2,Sheet2!$D$1:$F$601,3,0)</f>
        <v>P</v>
      </c>
      <c r="W14" s="2" t="str">
        <f>VLOOKUP($A14&amp;W$2,Sheet2!$D$1:$F$601,3,0)</f>
        <v>P</v>
      </c>
      <c r="X14" s="2" t="str">
        <f>VLOOKUP($A14&amp;X$2,Sheet2!$D$1:$F$601,3,0)</f>
        <v>P</v>
      </c>
      <c r="Y14" s="2" t="s">
        <v>174</v>
      </c>
      <c r="Z14" s="2" t="str">
        <f>VLOOKUP($A14&amp;Z$2,Sheet2!$D$1:$F$601,3,0)</f>
        <v>P</v>
      </c>
      <c r="AA14" s="2" t="str">
        <f>VLOOKUP($A14&amp;AA$2,Sheet2!$D$1:$F$601,3,0)</f>
        <v>L</v>
      </c>
      <c r="AB14" s="2" t="str">
        <f>VLOOKUP($A14&amp;AB$2,Sheet2!$D$1:$F$601,3,0)</f>
        <v>P</v>
      </c>
      <c r="AC14" s="2" t="str">
        <f>VLOOKUP($A14&amp;AC$2,Sheet2!$D$1:$F$601,3,0)</f>
        <v>P</v>
      </c>
      <c r="AD14" s="2" t="str">
        <f>VLOOKUP($A14&amp;AD$2,Sheet2!$D$1:$F$601,3,0)</f>
        <v>A</v>
      </c>
      <c r="AE14" s="2" t="str">
        <f>VLOOKUP($A14&amp;AE$2,Sheet2!$D$1:$F$601,3,0)</f>
        <v>P</v>
      </c>
      <c r="AF14" s="2" t="s">
        <v>174</v>
      </c>
      <c r="AG14" s="2" t="str">
        <f>VLOOKUP($A14&amp;AG$2,Sheet2!$D$1:$F$601,3,0)</f>
        <v>A</v>
      </c>
      <c r="AH14" s="2" t="str">
        <f>VLOOKUP($A14&amp;AH$2,Sheet2!$D$1:$F$601,3,0)</f>
        <v>P</v>
      </c>
      <c r="AI14" s="2" t="str">
        <f>VLOOKUP($A14&amp;AI$2,Sheet2!$D$1:$F$601,3,0)</f>
        <v>P</v>
      </c>
      <c r="AJ14" s="2" t="str">
        <f>VLOOKUP($A14&amp;AJ$2,Sheet2!$D$1:$F$601,3,0)</f>
        <v>P</v>
      </c>
      <c r="AK14" s="2" t="str">
        <f>VLOOKUP($A14&amp;AK$2,Sheet2!$D$1:$F$601,3,0)</f>
        <v>P</v>
      </c>
      <c r="AL14" s="2" t="str">
        <f>VLOOKUP($A14&amp;AL$2,Sheet2!$D$1:$F$601,3,0)</f>
        <v>P</v>
      </c>
      <c r="AM14" s="2" t="s">
        <v>174</v>
      </c>
      <c r="AN14" s="2" t="str">
        <f>VLOOKUP($A14&amp;AN$2,Sheet2!$D$1:$F$601,3,0)</f>
        <v>P</v>
      </c>
      <c r="AO14" s="2" t="str">
        <f>VLOOKUP($A14&amp;AO$2,Sheet2!$D$1:$F$601,3,0)</f>
        <v>P</v>
      </c>
      <c r="AP14" s="2" t="str">
        <f>VLOOKUP($A14&amp;AP$2,Sheet2!$D$1:$F$601,3,0)</f>
        <v>P</v>
      </c>
      <c r="AQ14" s="2" t="str">
        <f>VLOOKUP($A14&amp;AQ$2,Sheet2!$D$1:$F$601,3,0)</f>
        <v>P</v>
      </c>
      <c r="AR14" s="2" t="str">
        <f>VLOOKUP($A14&amp;AR$2,Sheet2!$D$1:$F$601,3,0)</f>
        <v>L</v>
      </c>
      <c r="AS14" s="2" t="str">
        <f>VLOOKUP($A14&amp;AS$2,Sheet2!$D$1:$F$601,3,0)</f>
        <v>P</v>
      </c>
      <c r="AT14" s="2" t="s">
        <v>174</v>
      </c>
      <c r="AU14" s="2" t="str">
        <f>VLOOKUP($A14&amp;AU$2,Sheet2!$D$1:$F$601,3,0)</f>
        <v>P</v>
      </c>
      <c r="AV14" s="2" t="str">
        <f>VLOOKUP($A14&amp;AV$2,Sheet2!$D$1:$F$601,3,0)</f>
        <v>P</v>
      </c>
      <c r="AW14" s="2">
        <f t="shared" si="1"/>
        <v>21</v>
      </c>
      <c r="AX14" s="2">
        <f t="shared" si="2"/>
        <v>3</v>
      </c>
      <c r="AY14" s="2">
        <f t="shared" si="3"/>
        <v>0</v>
      </c>
      <c r="AZ14" s="2">
        <f t="shared" si="4"/>
        <v>2</v>
      </c>
      <c r="BA14" s="2">
        <f t="shared" si="5"/>
        <v>4</v>
      </c>
      <c r="BB14" s="2">
        <f t="shared" si="6"/>
        <v>0</v>
      </c>
      <c r="BC14" s="2">
        <f t="shared" si="7"/>
        <v>26</v>
      </c>
      <c r="BD14" s="2">
        <v>29000</v>
      </c>
      <c r="BE14" s="3">
        <f t="shared" si="8"/>
        <v>25133.333333333332</v>
      </c>
      <c r="BF14" s="3">
        <f t="shared" si="9"/>
        <v>5026.666666666667</v>
      </c>
      <c r="BG14" s="3">
        <f t="shared" si="10"/>
        <v>10053.333333333334</v>
      </c>
      <c r="BH14" s="3">
        <v>1598</v>
      </c>
      <c r="BI14" s="3">
        <f>VLOOKUP(A14,Sheet3!$A$1:$E$21,5,0)</f>
        <v>5921.9500000000007</v>
      </c>
      <c r="BJ14" s="3">
        <f t="shared" si="11"/>
        <v>47733.28333333334</v>
      </c>
      <c r="BK14" s="3">
        <f t="shared" si="12"/>
        <v>1800</v>
      </c>
      <c r="BL14" s="13">
        <f t="shared" si="13"/>
        <v>0</v>
      </c>
      <c r="BM14" s="3">
        <f t="shared" si="14"/>
        <v>550.5</v>
      </c>
      <c r="BN14" s="3">
        <f t="shared" si="15"/>
        <v>1249.5</v>
      </c>
      <c r="BO14" s="3">
        <f t="shared" si="16"/>
        <v>0</v>
      </c>
      <c r="BP14" s="2">
        <f t="shared" si="17"/>
        <v>200</v>
      </c>
      <c r="BQ14" s="3">
        <f t="shared" si="18"/>
        <v>719.99750000000051</v>
      </c>
      <c r="BR14" s="2">
        <v>0</v>
      </c>
      <c r="BS14" s="3">
        <f t="shared" si="19"/>
        <v>45013.285833333342</v>
      </c>
    </row>
    <row r="15" spans="1:71" x14ac:dyDescent="0.25">
      <c r="A15" s="2" t="s">
        <v>39</v>
      </c>
      <c r="B15" s="2" t="s">
        <v>40</v>
      </c>
      <c r="C15" s="2" t="s">
        <v>41</v>
      </c>
      <c r="D15" s="2" t="s">
        <v>15</v>
      </c>
      <c r="E15" s="2">
        <v>1364617873</v>
      </c>
      <c r="F15" s="3">
        <v>436189546308</v>
      </c>
      <c r="G15" s="2">
        <v>9629726834</v>
      </c>
      <c r="H15" s="2">
        <v>2933429226</v>
      </c>
      <c r="I15" s="2">
        <v>9629726834</v>
      </c>
      <c r="J15" s="2">
        <v>8020564672</v>
      </c>
      <c r="K15" s="2" t="s">
        <v>127</v>
      </c>
      <c r="L15" s="3">
        <v>380313982921</v>
      </c>
      <c r="M15" s="2" t="s">
        <v>128</v>
      </c>
      <c r="N15" s="2" t="s">
        <v>129</v>
      </c>
      <c r="O15" s="2">
        <v>407751</v>
      </c>
      <c r="P15" s="4">
        <v>42548</v>
      </c>
      <c r="Q15" s="2" t="s">
        <v>97</v>
      </c>
      <c r="R15" s="6" t="s">
        <v>130</v>
      </c>
      <c r="S15" s="2" t="str">
        <f>VLOOKUP($A15&amp;S$2,Sheet2!$D$1:$F$601,3,0)</f>
        <v>A</v>
      </c>
      <c r="T15" s="2" t="str">
        <f>VLOOKUP($A15&amp;T$2,Sheet2!$D$1:$F$601,3,0)</f>
        <v>L</v>
      </c>
      <c r="U15" s="2" t="str">
        <f>VLOOKUP($A15&amp;U$2,Sheet2!$D$1:$F$601,3,0)</f>
        <v>A</v>
      </c>
      <c r="V15" s="2" t="str">
        <f>VLOOKUP($A15&amp;V$2,Sheet2!$D$1:$F$601,3,0)</f>
        <v>P</v>
      </c>
      <c r="W15" s="2" t="str">
        <f>VLOOKUP($A15&amp;W$2,Sheet2!$D$1:$F$601,3,0)</f>
        <v>P</v>
      </c>
      <c r="X15" s="2" t="str">
        <f>VLOOKUP($A15&amp;X$2,Sheet2!$D$1:$F$601,3,0)</f>
        <v>L</v>
      </c>
      <c r="Y15" s="2" t="s">
        <v>174</v>
      </c>
      <c r="Z15" s="2" t="str">
        <f>VLOOKUP($A15&amp;Z$2,Sheet2!$D$1:$F$601,3,0)</f>
        <v>L</v>
      </c>
      <c r="AA15" s="2" t="str">
        <f>VLOOKUP($A15&amp;AA$2,Sheet2!$D$1:$F$601,3,0)</f>
        <v>P</v>
      </c>
      <c r="AB15" s="2" t="str">
        <f>VLOOKUP($A15&amp;AB$2,Sheet2!$D$1:$F$601,3,0)</f>
        <v>P</v>
      </c>
      <c r="AC15" s="2" t="str">
        <f>VLOOKUP($A15&amp;AC$2,Sheet2!$D$1:$F$601,3,0)</f>
        <v>P</v>
      </c>
      <c r="AD15" s="2" t="str">
        <f>VLOOKUP($A15&amp;AD$2,Sheet2!$D$1:$F$601,3,0)</f>
        <v>P</v>
      </c>
      <c r="AE15" s="2" t="str">
        <f>VLOOKUP($A15&amp;AE$2,Sheet2!$D$1:$F$601,3,0)</f>
        <v>P</v>
      </c>
      <c r="AF15" s="2" t="s">
        <v>174</v>
      </c>
      <c r="AG15" s="2" t="str">
        <f>VLOOKUP($A15&amp;AG$2,Sheet2!$D$1:$F$601,3,0)</f>
        <v>L</v>
      </c>
      <c r="AH15" s="2" t="str">
        <f>VLOOKUP($A15&amp;AH$2,Sheet2!$D$1:$F$601,3,0)</f>
        <v>L</v>
      </c>
      <c r="AI15" s="2" t="str">
        <f>VLOOKUP($A15&amp;AI$2,Sheet2!$D$1:$F$601,3,0)</f>
        <v>P</v>
      </c>
      <c r="AJ15" s="2" t="str">
        <f>VLOOKUP($A15&amp;AJ$2,Sheet2!$D$1:$F$601,3,0)</f>
        <v>L</v>
      </c>
      <c r="AK15" s="2" t="str">
        <f>VLOOKUP($A15&amp;AK$2,Sheet2!$D$1:$F$601,3,0)</f>
        <v>P</v>
      </c>
      <c r="AL15" s="2" t="str">
        <f>VLOOKUP($A15&amp;AL$2,Sheet2!$D$1:$F$601,3,0)</f>
        <v>P</v>
      </c>
      <c r="AM15" s="2" t="s">
        <v>174</v>
      </c>
      <c r="AN15" s="2" t="str">
        <f>VLOOKUP($A15&amp;AN$2,Sheet2!$D$1:$F$601,3,0)</f>
        <v>P</v>
      </c>
      <c r="AO15" s="2" t="str">
        <f>VLOOKUP($A15&amp;AO$2,Sheet2!$D$1:$F$601,3,0)</f>
        <v>P</v>
      </c>
      <c r="AP15" s="2" t="str">
        <f>VLOOKUP($A15&amp;AP$2,Sheet2!$D$1:$F$601,3,0)</f>
        <v>P</v>
      </c>
      <c r="AQ15" s="2" t="str">
        <f>VLOOKUP($A15&amp;AQ$2,Sheet2!$D$1:$F$601,3,0)</f>
        <v>P</v>
      </c>
      <c r="AR15" s="2" t="str">
        <f>VLOOKUP($A15&amp;AR$2,Sheet2!$D$1:$F$601,3,0)</f>
        <v>P</v>
      </c>
      <c r="AS15" s="2" t="str">
        <f>VLOOKUP($A15&amp;AS$2,Sheet2!$D$1:$F$601,3,0)</f>
        <v>P</v>
      </c>
      <c r="AT15" s="2" t="s">
        <v>174</v>
      </c>
      <c r="AU15" s="2" t="str">
        <f>VLOOKUP($A15&amp;AU$2,Sheet2!$D$1:$F$601,3,0)</f>
        <v>P</v>
      </c>
      <c r="AV15" s="2" t="str">
        <f>VLOOKUP($A15&amp;AV$2,Sheet2!$D$1:$F$601,3,0)</f>
        <v>P</v>
      </c>
      <c r="AW15" s="2">
        <f t="shared" si="1"/>
        <v>18</v>
      </c>
      <c r="AX15" s="2">
        <f t="shared" si="2"/>
        <v>2</v>
      </c>
      <c r="AY15" s="2">
        <f t="shared" si="3"/>
        <v>0</v>
      </c>
      <c r="AZ15" s="2">
        <f t="shared" si="4"/>
        <v>6</v>
      </c>
      <c r="BA15" s="2">
        <f t="shared" si="5"/>
        <v>4</v>
      </c>
      <c r="BB15" s="2">
        <f t="shared" si="6"/>
        <v>0</v>
      </c>
      <c r="BC15" s="2">
        <f t="shared" si="7"/>
        <v>23</v>
      </c>
      <c r="BD15" s="2">
        <v>14000</v>
      </c>
      <c r="BE15" s="3">
        <f t="shared" si="8"/>
        <v>10733.333333333334</v>
      </c>
      <c r="BF15" s="3">
        <f t="shared" si="9"/>
        <v>2146.666666666667</v>
      </c>
      <c r="BG15" s="3">
        <f t="shared" si="10"/>
        <v>4293.3333333333339</v>
      </c>
      <c r="BH15" s="3">
        <v>2222</v>
      </c>
      <c r="BI15" s="3">
        <f>VLOOKUP(A15,Sheet3!$A$1:$E$21,5,0)</f>
        <v>5976.05</v>
      </c>
      <c r="BJ15" s="3">
        <f t="shared" si="11"/>
        <v>25371.383333333335</v>
      </c>
      <c r="BK15" s="3">
        <f t="shared" si="12"/>
        <v>1545.6</v>
      </c>
      <c r="BL15" s="13">
        <f t="shared" si="13"/>
        <v>0</v>
      </c>
      <c r="BM15" s="3">
        <f t="shared" si="14"/>
        <v>472.69599999999997</v>
      </c>
      <c r="BN15" s="3">
        <f t="shared" si="15"/>
        <v>1072.904</v>
      </c>
      <c r="BO15" s="3">
        <f t="shared" si="16"/>
        <v>0</v>
      </c>
      <c r="BP15" s="2">
        <f t="shared" si="17"/>
        <v>200</v>
      </c>
      <c r="BQ15" s="3">
        <f t="shared" si="18"/>
        <v>0</v>
      </c>
      <c r="BR15" s="2">
        <v>0</v>
      </c>
      <c r="BS15" s="3">
        <f t="shared" si="19"/>
        <v>23625.783333333336</v>
      </c>
    </row>
    <row r="16" spans="1:71" x14ac:dyDescent="0.25">
      <c r="A16" s="2" t="s">
        <v>42</v>
      </c>
      <c r="B16" s="2" t="s">
        <v>43</v>
      </c>
      <c r="C16" s="2" t="s">
        <v>41</v>
      </c>
      <c r="D16" s="2" t="s">
        <v>7</v>
      </c>
      <c r="E16" s="2">
        <v>2493143900</v>
      </c>
      <c r="F16" s="3">
        <v>270488639929</v>
      </c>
      <c r="G16" s="2">
        <v>6575979860</v>
      </c>
      <c r="H16" s="2">
        <v>4090424833</v>
      </c>
      <c r="I16" s="2">
        <v>6575979860</v>
      </c>
      <c r="J16" s="2">
        <v>7399256583</v>
      </c>
      <c r="K16" s="2" t="s">
        <v>131</v>
      </c>
      <c r="L16" s="3">
        <v>932182598792</v>
      </c>
      <c r="M16" s="2" t="s">
        <v>132</v>
      </c>
      <c r="N16" s="2" t="s">
        <v>133</v>
      </c>
      <c r="O16" s="2">
        <v>319348</v>
      </c>
      <c r="P16" s="4">
        <v>45108</v>
      </c>
      <c r="Q16" s="2" t="s">
        <v>80</v>
      </c>
      <c r="R16" s="6" t="s">
        <v>134</v>
      </c>
      <c r="S16" s="2" t="str">
        <f>VLOOKUP($A16&amp;S$2,Sheet2!$D$1:$F$601,3,0)</f>
        <v>P</v>
      </c>
      <c r="T16" s="2" t="str">
        <f>VLOOKUP($A16&amp;T$2,Sheet2!$D$1:$F$601,3,0)</f>
        <v>P</v>
      </c>
      <c r="U16" s="2" t="str">
        <f>VLOOKUP($A16&amp;U$2,Sheet2!$D$1:$F$601,3,0)</f>
        <v>P</v>
      </c>
      <c r="V16" s="2" t="str">
        <f>VLOOKUP($A16&amp;V$2,Sheet2!$D$1:$F$601,3,0)</f>
        <v>L</v>
      </c>
      <c r="W16" s="2" t="str">
        <f>VLOOKUP($A16&amp;W$2,Sheet2!$D$1:$F$601,3,0)</f>
        <v>P</v>
      </c>
      <c r="X16" s="2" t="str">
        <f>VLOOKUP($A16&amp;X$2,Sheet2!$D$1:$F$601,3,0)</f>
        <v>A</v>
      </c>
      <c r="Y16" s="2" t="s">
        <v>174</v>
      </c>
      <c r="Z16" s="2" t="str">
        <f>VLOOKUP($A16&amp;Z$2,Sheet2!$D$1:$F$601,3,0)</f>
        <v>A</v>
      </c>
      <c r="AA16" s="2" t="str">
        <f>VLOOKUP($A16&amp;AA$2,Sheet2!$D$1:$F$601,3,0)</f>
        <v>P</v>
      </c>
      <c r="AB16" s="2" t="str">
        <f>VLOOKUP($A16&amp;AB$2,Sheet2!$D$1:$F$601,3,0)</f>
        <v>P</v>
      </c>
      <c r="AC16" s="2" t="str">
        <f>VLOOKUP($A16&amp;AC$2,Sheet2!$D$1:$F$601,3,0)</f>
        <v>P</v>
      </c>
      <c r="AD16" s="2" t="str">
        <f>VLOOKUP($A16&amp;AD$2,Sheet2!$D$1:$F$601,3,0)</f>
        <v>L</v>
      </c>
      <c r="AE16" s="2" t="str">
        <f>VLOOKUP($A16&amp;AE$2,Sheet2!$D$1:$F$601,3,0)</f>
        <v>P</v>
      </c>
      <c r="AF16" s="2" t="s">
        <v>174</v>
      </c>
      <c r="AG16" s="2" t="str">
        <f>VLOOKUP($A16&amp;AG$2,Sheet2!$D$1:$F$601,3,0)</f>
        <v>A</v>
      </c>
      <c r="AH16" s="2" t="str">
        <f>VLOOKUP($A16&amp;AH$2,Sheet2!$D$1:$F$601,3,0)</f>
        <v>L</v>
      </c>
      <c r="AI16" s="2" t="str">
        <f>VLOOKUP($A16&amp;AI$2,Sheet2!$D$1:$F$601,3,0)</f>
        <v>P</v>
      </c>
      <c r="AJ16" s="2" t="str">
        <f>VLOOKUP($A16&amp;AJ$2,Sheet2!$D$1:$F$601,3,0)</f>
        <v>P</v>
      </c>
      <c r="AK16" s="2" t="str">
        <f>VLOOKUP($A16&amp;AK$2,Sheet2!$D$1:$F$601,3,0)</f>
        <v>P</v>
      </c>
      <c r="AL16" s="2" t="str">
        <f>VLOOKUP($A16&amp;AL$2,Sheet2!$D$1:$F$601,3,0)</f>
        <v>P</v>
      </c>
      <c r="AM16" s="2" t="s">
        <v>174</v>
      </c>
      <c r="AN16" s="2" t="str">
        <f>VLOOKUP($A16&amp;AN$2,Sheet2!$D$1:$F$601,3,0)</f>
        <v>P</v>
      </c>
      <c r="AO16" s="2" t="str">
        <f>VLOOKUP($A16&amp;AO$2,Sheet2!$D$1:$F$601,3,0)</f>
        <v>P</v>
      </c>
      <c r="AP16" s="2" t="str">
        <f>VLOOKUP($A16&amp;AP$2,Sheet2!$D$1:$F$601,3,0)</f>
        <v>P</v>
      </c>
      <c r="AQ16" s="2" t="str">
        <f>VLOOKUP($A16&amp;AQ$2,Sheet2!$D$1:$F$601,3,0)</f>
        <v>L</v>
      </c>
      <c r="AR16" s="2" t="str">
        <f>VLOOKUP($A16&amp;AR$2,Sheet2!$D$1:$F$601,3,0)</f>
        <v>P</v>
      </c>
      <c r="AS16" s="2" t="str">
        <f>VLOOKUP($A16&amp;AS$2,Sheet2!$D$1:$F$601,3,0)</f>
        <v>P</v>
      </c>
      <c r="AT16" s="2" t="s">
        <v>174</v>
      </c>
      <c r="AU16" s="2" t="str">
        <f>VLOOKUP($A16&amp;AU$2,Sheet2!$D$1:$F$601,3,0)</f>
        <v>P</v>
      </c>
      <c r="AV16" s="2" t="str">
        <f>VLOOKUP($A16&amp;AV$2,Sheet2!$D$1:$F$601,3,0)</f>
        <v>A</v>
      </c>
      <c r="AW16" s="2">
        <f t="shared" si="1"/>
        <v>18</v>
      </c>
      <c r="AX16" s="2">
        <f t="shared" si="2"/>
        <v>4</v>
      </c>
      <c r="AY16" s="2">
        <f t="shared" si="3"/>
        <v>0</v>
      </c>
      <c r="AZ16" s="2">
        <f t="shared" si="4"/>
        <v>4</v>
      </c>
      <c r="BA16" s="2">
        <f t="shared" si="5"/>
        <v>4</v>
      </c>
      <c r="BB16" s="2">
        <f t="shared" si="6"/>
        <v>0</v>
      </c>
      <c r="BC16" s="2">
        <f t="shared" si="7"/>
        <v>23</v>
      </c>
      <c r="BD16" s="2">
        <v>13000</v>
      </c>
      <c r="BE16" s="3">
        <f t="shared" si="8"/>
        <v>9966.6666666666661</v>
      </c>
      <c r="BF16" s="3">
        <f t="shared" si="9"/>
        <v>1993.3333333333333</v>
      </c>
      <c r="BG16" s="3">
        <f t="shared" si="10"/>
        <v>3986.6666666666665</v>
      </c>
      <c r="BH16" s="3">
        <v>1294</v>
      </c>
      <c r="BI16" s="3">
        <f>VLOOKUP(A16,Sheet3!$A$1:$E$21,5,0)</f>
        <v>0</v>
      </c>
      <c r="BJ16" s="3">
        <f t="shared" si="11"/>
        <v>17240.666666666664</v>
      </c>
      <c r="BK16" s="3">
        <f t="shared" si="12"/>
        <v>1435.2</v>
      </c>
      <c r="BL16" s="13">
        <f t="shared" si="13"/>
        <v>129.30499999999998</v>
      </c>
      <c r="BM16" s="3">
        <f t="shared" si="14"/>
        <v>438.93199999999996</v>
      </c>
      <c r="BN16" s="3">
        <f t="shared" si="15"/>
        <v>996.26800000000003</v>
      </c>
      <c r="BO16" s="3">
        <f t="shared" si="16"/>
        <v>560.3216666666666</v>
      </c>
      <c r="BP16" s="2">
        <f t="shared" si="17"/>
        <v>100</v>
      </c>
      <c r="BQ16" s="3">
        <f t="shared" si="18"/>
        <v>0</v>
      </c>
      <c r="BR16" s="2">
        <v>1000</v>
      </c>
      <c r="BS16" s="3">
        <f t="shared" si="19"/>
        <v>14576.161666666663</v>
      </c>
    </row>
    <row r="17" spans="1:71" x14ac:dyDescent="0.25">
      <c r="A17" s="2" t="s">
        <v>44</v>
      </c>
      <c r="B17" s="2" t="s">
        <v>45</v>
      </c>
      <c r="C17" s="2" t="s">
        <v>25</v>
      </c>
      <c r="D17" s="2" t="s">
        <v>20</v>
      </c>
      <c r="E17" s="2">
        <v>7889705337</v>
      </c>
      <c r="F17" s="3">
        <v>403651146579</v>
      </c>
      <c r="G17" s="2">
        <v>8132165834</v>
      </c>
      <c r="H17" s="2">
        <v>2609984680</v>
      </c>
      <c r="I17" s="2">
        <v>8132165834</v>
      </c>
      <c r="J17" s="2">
        <v>7512787697</v>
      </c>
      <c r="K17" s="2" t="s">
        <v>135</v>
      </c>
      <c r="L17" s="3">
        <v>865743373927</v>
      </c>
      <c r="M17" s="2" t="s">
        <v>136</v>
      </c>
      <c r="N17" s="2" t="s">
        <v>137</v>
      </c>
      <c r="O17" s="2">
        <v>515446</v>
      </c>
      <c r="P17" s="4">
        <v>43644</v>
      </c>
      <c r="Q17" s="2" t="s">
        <v>97</v>
      </c>
      <c r="R17" s="6" t="s">
        <v>138</v>
      </c>
      <c r="S17" s="2" t="str">
        <f>VLOOKUP($A17&amp;S$2,Sheet2!$D$1:$F$601,3,0)</f>
        <v>P</v>
      </c>
      <c r="T17" s="2" t="str">
        <f>VLOOKUP($A17&amp;T$2,Sheet2!$D$1:$F$601,3,0)</f>
        <v>P</v>
      </c>
      <c r="U17" s="2" t="str">
        <f>VLOOKUP($A17&amp;U$2,Sheet2!$D$1:$F$601,3,0)</f>
        <v>P</v>
      </c>
      <c r="V17" s="2" t="str">
        <f>VLOOKUP($A17&amp;V$2,Sheet2!$D$1:$F$601,3,0)</f>
        <v>A</v>
      </c>
      <c r="W17" s="2" t="str">
        <f>VLOOKUP($A17&amp;W$2,Sheet2!$D$1:$F$601,3,0)</f>
        <v>P</v>
      </c>
      <c r="X17" s="2" t="str">
        <f>VLOOKUP($A17&amp;X$2,Sheet2!$D$1:$F$601,3,0)</f>
        <v>P</v>
      </c>
      <c r="Y17" s="2" t="s">
        <v>174</v>
      </c>
      <c r="Z17" s="2" t="str">
        <f>VLOOKUP($A17&amp;Z$2,Sheet2!$D$1:$F$601,3,0)</f>
        <v>L</v>
      </c>
      <c r="AA17" s="2" t="str">
        <f>VLOOKUP($A17&amp;AA$2,Sheet2!$D$1:$F$601,3,0)</f>
        <v>A</v>
      </c>
      <c r="AB17" s="2" t="str">
        <f>VLOOKUP($A17&amp;AB$2,Sheet2!$D$1:$F$601,3,0)</f>
        <v>P</v>
      </c>
      <c r="AC17" s="2" t="str">
        <f>VLOOKUP($A17&amp;AC$2,Sheet2!$D$1:$F$601,3,0)</f>
        <v>P</v>
      </c>
      <c r="AD17" s="2" t="str">
        <f>VLOOKUP($A17&amp;AD$2,Sheet2!$D$1:$F$601,3,0)</f>
        <v>P</v>
      </c>
      <c r="AE17" s="2" t="str">
        <f>VLOOKUP($A17&amp;AE$2,Sheet2!$D$1:$F$601,3,0)</f>
        <v>P</v>
      </c>
      <c r="AF17" s="2" t="s">
        <v>174</v>
      </c>
      <c r="AG17" s="2" t="str">
        <f>VLOOKUP($A17&amp;AG$2,Sheet2!$D$1:$F$601,3,0)</f>
        <v>P</v>
      </c>
      <c r="AH17" s="2" t="str">
        <f>VLOOKUP($A17&amp;AH$2,Sheet2!$D$1:$F$601,3,0)</f>
        <v>P</v>
      </c>
      <c r="AI17" s="2" t="str">
        <f>VLOOKUP($A17&amp;AI$2,Sheet2!$D$1:$F$601,3,0)</f>
        <v>L</v>
      </c>
      <c r="AJ17" s="2" t="str">
        <f>VLOOKUP($A17&amp;AJ$2,Sheet2!$D$1:$F$601,3,0)</f>
        <v>P</v>
      </c>
      <c r="AK17" s="2" t="str">
        <f>VLOOKUP($A17&amp;AK$2,Sheet2!$D$1:$F$601,3,0)</f>
        <v>L</v>
      </c>
      <c r="AL17" s="2" t="str">
        <f>VLOOKUP($A17&amp;AL$2,Sheet2!$D$1:$F$601,3,0)</f>
        <v>A</v>
      </c>
      <c r="AM17" s="2" t="s">
        <v>174</v>
      </c>
      <c r="AN17" s="2" t="str">
        <f>VLOOKUP($A17&amp;AN$2,Sheet2!$D$1:$F$601,3,0)</f>
        <v>L</v>
      </c>
      <c r="AO17" s="2" t="str">
        <f>VLOOKUP($A17&amp;AO$2,Sheet2!$D$1:$F$601,3,0)</f>
        <v>A</v>
      </c>
      <c r="AP17" s="2" t="str">
        <f>VLOOKUP($A17&amp;AP$2,Sheet2!$D$1:$F$601,3,0)</f>
        <v>P</v>
      </c>
      <c r="AQ17" s="2" t="str">
        <f>VLOOKUP($A17&amp;AQ$2,Sheet2!$D$1:$F$601,3,0)</f>
        <v>P</v>
      </c>
      <c r="AR17" s="2" t="str">
        <f>VLOOKUP($A17&amp;AR$2,Sheet2!$D$1:$F$601,3,0)</f>
        <v>P</v>
      </c>
      <c r="AS17" s="2" t="str">
        <f>VLOOKUP($A17&amp;AS$2,Sheet2!$D$1:$F$601,3,0)</f>
        <v>P</v>
      </c>
      <c r="AT17" s="2" t="s">
        <v>174</v>
      </c>
      <c r="AU17" s="2" t="str">
        <f>VLOOKUP($A17&amp;AU$2,Sheet2!$D$1:$F$601,3,0)</f>
        <v>L</v>
      </c>
      <c r="AV17" s="2" t="str">
        <f>VLOOKUP($A17&amp;AV$2,Sheet2!$D$1:$F$601,3,0)</f>
        <v>P</v>
      </c>
      <c r="AW17" s="2">
        <f t="shared" si="1"/>
        <v>17</v>
      </c>
      <c r="AX17" s="2">
        <f t="shared" si="2"/>
        <v>4</v>
      </c>
      <c r="AY17" s="2">
        <f t="shared" si="3"/>
        <v>0</v>
      </c>
      <c r="AZ17" s="2">
        <f t="shared" si="4"/>
        <v>5</v>
      </c>
      <c r="BA17" s="2">
        <f t="shared" si="5"/>
        <v>4</v>
      </c>
      <c r="BB17" s="2">
        <f t="shared" si="6"/>
        <v>0</v>
      </c>
      <c r="BC17" s="2">
        <f t="shared" si="7"/>
        <v>22</v>
      </c>
      <c r="BD17" s="2">
        <v>12000</v>
      </c>
      <c r="BE17" s="3">
        <f t="shared" si="8"/>
        <v>8800</v>
      </c>
      <c r="BF17" s="3">
        <f t="shared" si="9"/>
        <v>1760</v>
      </c>
      <c r="BG17" s="3">
        <f t="shared" si="10"/>
        <v>3520</v>
      </c>
      <c r="BH17" s="3">
        <v>2441</v>
      </c>
      <c r="BI17" s="3">
        <f>VLOOKUP(A17,Sheet3!$A$1:$E$21,5,0)</f>
        <v>5645.8</v>
      </c>
      <c r="BJ17" s="3">
        <f t="shared" si="11"/>
        <v>22166.799999999999</v>
      </c>
      <c r="BK17" s="3">
        <f t="shared" si="12"/>
        <v>1267.2</v>
      </c>
      <c r="BL17" s="13">
        <f t="shared" si="13"/>
        <v>0</v>
      </c>
      <c r="BM17" s="3">
        <f t="shared" si="14"/>
        <v>387.55199999999996</v>
      </c>
      <c r="BN17" s="3">
        <f t="shared" si="15"/>
        <v>879.64800000000002</v>
      </c>
      <c r="BO17" s="3">
        <f t="shared" si="16"/>
        <v>0</v>
      </c>
      <c r="BP17" s="2">
        <f t="shared" si="17"/>
        <v>150</v>
      </c>
      <c r="BQ17" s="3">
        <f t="shared" si="18"/>
        <v>0</v>
      </c>
      <c r="BR17" s="2">
        <v>0</v>
      </c>
      <c r="BS17" s="3">
        <f t="shared" si="19"/>
        <v>20749.599999999999</v>
      </c>
    </row>
    <row r="18" spans="1:71" x14ac:dyDescent="0.25">
      <c r="A18" s="2" t="s">
        <v>46</v>
      </c>
      <c r="B18" s="2" t="s">
        <v>47</v>
      </c>
      <c r="C18" s="2" t="s">
        <v>14</v>
      </c>
      <c r="D18" s="2" t="s">
        <v>7</v>
      </c>
      <c r="E18" s="5" t="s">
        <v>139</v>
      </c>
      <c r="F18" s="3">
        <v>540400773491</v>
      </c>
      <c r="G18" s="2">
        <v>2087024530</v>
      </c>
      <c r="H18" s="2">
        <v>1087729013</v>
      </c>
      <c r="I18" s="2">
        <v>2087024530</v>
      </c>
      <c r="J18" s="2">
        <v>9502070765</v>
      </c>
      <c r="K18" s="2" t="s">
        <v>140</v>
      </c>
      <c r="L18" s="3">
        <v>963565148366</v>
      </c>
      <c r="M18" s="2" t="s">
        <v>141</v>
      </c>
      <c r="N18" s="2" t="s">
        <v>142</v>
      </c>
      <c r="O18" s="2">
        <v>375774</v>
      </c>
      <c r="P18" s="4">
        <v>44431</v>
      </c>
      <c r="Q18" s="2" t="s">
        <v>80</v>
      </c>
      <c r="R18" s="6" t="s">
        <v>143</v>
      </c>
      <c r="S18" s="2" t="str">
        <f>VLOOKUP($A18&amp;S$2,Sheet2!$D$1:$F$601,3,0)</f>
        <v>A</v>
      </c>
      <c r="T18" s="2" t="str">
        <f>VLOOKUP($A18&amp;T$2,Sheet2!$D$1:$F$601,3,0)</f>
        <v>P</v>
      </c>
      <c r="U18" s="2" t="str">
        <f>VLOOKUP($A18&amp;U$2,Sheet2!$D$1:$F$601,3,0)</f>
        <v>A</v>
      </c>
      <c r="V18" s="2" t="str">
        <f>VLOOKUP($A18&amp;V$2,Sheet2!$D$1:$F$601,3,0)</f>
        <v>A</v>
      </c>
      <c r="W18" s="2" t="str">
        <f>VLOOKUP($A18&amp;W$2,Sheet2!$D$1:$F$601,3,0)</f>
        <v>A</v>
      </c>
      <c r="X18" s="2" t="str">
        <f>VLOOKUP($A18&amp;X$2,Sheet2!$D$1:$F$601,3,0)</f>
        <v>A</v>
      </c>
      <c r="Y18" s="2" t="s">
        <v>174</v>
      </c>
      <c r="Z18" s="2" t="str">
        <f>VLOOKUP($A18&amp;Z$2,Sheet2!$D$1:$F$601,3,0)</f>
        <v>P</v>
      </c>
      <c r="AA18" s="2" t="str">
        <f>VLOOKUP($A18&amp;AA$2,Sheet2!$D$1:$F$601,3,0)</f>
        <v>P</v>
      </c>
      <c r="AB18" s="2" t="str">
        <f>VLOOKUP($A18&amp;AB$2,Sheet2!$D$1:$F$601,3,0)</f>
        <v>P</v>
      </c>
      <c r="AC18" s="2" t="str">
        <f>VLOOKUP($A18&amp;AC$2,Sheet2!$D$1:$F$601,3,0)</f>
        <v>P</v>
      </c>
      <c r="AD18" s="2" t="str">
        <f>VLOOKUP($A18&amp;AD$2,Sheet2!$D$1:$F$601,3,0)</f>
        <v>A</v>
      </c>
      <c r="AE18" s="2" t="str">
        <f>VLOOKUP($A18&amp;AE$2,Sheet2!$D$1:$F$601,3,0)</f>
        <v>P</v>
      </c>
      <c r="AF18" s="2" t="s">
        <v>174</v>
      </c>
      <c r="AG18" s="2" t="str">
        <f>VLOOKUP($A18&amp;AG$2,Sheet2!$D$1:$F$601,3,0)</f>
        <v>P</v>
      </c>
      <c r="AH18" s="2" t="str">
        <f>VLOOKUP($A18&amp;AH$2,Sheet2!$D$1:$F$601,3,0)</f>
        <v>P</v>
      </c>
      <c r="AI18" s="2" t="str">
        <f>VLOOKUP($A18&amp;AI$2,Sheet2!$D$1:$F$601,3,0)</f>
        <v>P</v>
      </c>
      <c r="AJ18" s="2" t="str">
        <f>VLOOKUP($A18&amp;AJ$2,Sheet2!$D$1:$F$601,3,0)</f>
        <v>A</v>
      </c>
      <c r="AK18" s="2" t="str">
        <f>VLOOKUP($A18&amp;AK$2,Sheet2!$D$1:$F$601,3,0)</f>
        <v>P</v>
      </c>
      <c r="AL18" s="2" t="str">
        <f>VLOOKUP($A18&amp;AL$2,Sheet2!$D$1:$F$601,3,0)</f>
        <v>A</v>
      </c>
      <c r="AM18" s="2" t="s">
        <v>174</v>
      </c>
      <c r="AN18" s="2" t="str">
        <f>VLOOKUP($A18&amp;AN$2,Sheet2!$D$1:$F$601,3,0)</f>
        <v>P</v>
      </c>
      <c r="AO18" s="2" t="str">
        <f>VLOOKUP($A18&amp;AO$2,Sheet2!$D$1:$F$601,3,0)</f>
        <v>P</v>
      </c>
      <c r="AP18" s="2" t="str">
        <f>VLOOKUP($A18&amp;AP$2,Sheet2!$D$1:$F$601,3,0)</f>
        <v>P</v>
      </c>
      <c r="AQ18" s="2" t="str">
        <f>VLOOKUP($A18&amp;AQ$2,Sheet2!$D$1:$F$601,3,0)</f>
        <v>A</v>
      </c>
      <c r="AR18" s="2" t="str">
        <f>VLOOKUP($A18&amp;AR$2,Sheet2!$D$1:$F$601,3,0)</f>
        <v>P</v>
      </c>
      <c r="AS18" s="2" t="str">
        <f>VLOOKUP($A18&amp;AS$2,Sheet2!$D$1:$F$601,3,0)</f>
        <v>P</v>
      </c>
      <c r="AT18" s="2" t="s">
        <v>174</v>
      </c>
      <c r="AU18" s="2" t="str">
        <f>VLOOKUP($A18&amp;AU$2,Sheet2!$D$1:$F$601,3,0)</f>
        <v>P</v>
      </c>
      <c r="AV18" s="2" t="str">
        <f>VLOOKUP($A18&amp;AV$2,Sheet2!$D$1:$F$601,3,0)</f>
        <v>L</v>
      </c>
      <c r="AW18" s="2">
        <f t="shared" si="1"/>
        <v>16</v>
      </c>
      <c r="AX18" s="2">
        <f t="shared" si="2"/>
        <v>9</v>
      </c>
      <c r="AY18" s="2">
        <f t="shared" si="3"/>
        <v>0</v>
      </c>
      <c r="AZ18" s="2">
        <f t="shared" si="4"/>
        <v>1</v>
      </c>
      <c r="BA18" s="2">
        <f t="shared" si="5"/>
        <v>4</v>
      </c>
      <c r="BB18" s="2">
        <f t="shared" si="6"/>
        <v>0</v>
      </c>
      <c r="BC18" s="2">
        <f t="shared" si="7"/>
        <v>21</v>
      </c>
      <c r="BD18" s="2">
        <v>32654</v>
      </c>
      <c r="BE18" s="3">
        <f t="shared" si="8"/>
        <v>22857.8</v>
      </c>
      <c r="BF18" s="3">
        <f t="shared" si="9"/>
        <v>4571.5600000000004</v>
      </c>
      <c r="BG18" s="3">
        <f t="shared" si="10"/>
        <v>9143.1200000000008</v>
      </c>
      <c r="BH18" s="3">
        <v>2458</v>
      </c>
      <c r="BI18" s="3">
        <f>VLOOKUP(A18,Sheet3!$A$1:$E$21,5,0)</f>
        <v>0</v>
      </c>
      <c r="BJ18" s="3">
        <f t="shared" si="11"/>
        <v>39030.480000000003</v>
      </c>
      <c r="BK18" s="3">
        <f t="shared" si="12"/>
        <v>1800</v>
      </c>
      <c r="BL18" s="13">
        <f t="shared" si="13"/>
        <v>0</v>
      </c>
      <c r="BM18" s="3">
        <f t="shared" si="14"/>
        <v>550.5</v>
      </c>
      <c r="BN18" s="3">
        <f t="shared" si="15"/>
        <v>1249.5</v>
      </c>
      <c r="BO18" s="3">
        <f t="shared" si="16"/>
        <v>0</v>
      </c>
      <c r="BP18" s="2">
        <f t="shared" si="17"/>
        <v>200</v>
      </c>
      <c r="BQ18" s="3">
        <f t="shared" si="18"/>
        <v>284.85733333333337</v>
      </c>
      <c r="BR18" s="2">
        <v>0</v>
      </c>
      <c r="BS18" s="3">
        <f t="shared" si="19"/>
        <v>36745.62266666667</v>
      </c>
    </row>
    <row r="19" spans="1:71" x14ac:dyDescent="0.25">
      <c r="A19" s="2" t="s">
        <v>48</v>
      </c>
      <c r="B19" s="2" t="s">
        <v>49</v>
      </c>
      <c r="C19" s="2" t="s">
        <v>36</v>
      </c>
      <c r="D19" s="2" t="s">
        <v>20</v>
      </c>
      <c r="E19" s="2">
        <v>4946465197</v>
      </c>
      <c r="F19" s="3">
        <v>221535456456</v>
      </c>
      <c r="G19" s="2">
        <v>3010506846</v>
      </c>
      <c r="H19" s="2">
        <v>7564733213</v>
      </c>
      <c r="I19" s="2">
        <v>3010506846</v>
      </c>
      <c r="J19" s="2">
        <v>1095365992</v>
      </c>
      <c r="K19" s="2" t="s">
        <v>144</v>
      </c>
      <c r="L19" s="3">
        <v>985503373716</v>
      </c>
      <c r="M19" s="2" t="s">
        <v>145</v>
      </c>
      <c r="N19" s="2" t="s">
        <v>146</v>
      </c>
      <c r="O19" s="2">
        <v>369582</v>
      </c>
      <c r="P19" s="4">
        <v>42482</v>
      </c>
      <c r="Q19" s="2" t="s">
        <v>97</v>
      </c>
      <c r="R19" s="6" t="s">
        <v>147</v>
      </c>
      <c r="S19" s="2" t="str">
        <f>VLOOKUP($A19&amp;S$2,Sheet2!$D$1:$F$601,3,0)</f>
        <v>P</v>
      </c>
      <c r="T19" s="2" t="str">
        <f>VLOOKUP($A19&amp;T$2,Sheet2!$D$1:$F$601,3,0)</f>
        <v>L</v>
      </c>
      <c r="U19" s="2" t="str">
        <f>VLOOKUP($A19&amp;U$2,Sheet2!$D$1:$F$601,3,0)</f>
        <v>P</v>
      </c>
      <c r="V19" s="2" t="str">
        <f>VLOOKUP($A19&amp;V$2,Sheet2!$D$1:$F$601,3,0)</f>
        <v>A</v>
      </c>
      <c r="W19" s="2" t="str">
        <f>VLOOKUP($A19&amp;W$2,Sheet2!$D$1:$F$601,3,0)</f>
        <v>P</v>
      </c>
      <c r="X19" s="2" t="str">
        <f>VLOOKUP($A19&amp;X$2,Sheet2!$D$1:$F$601,3,0)</f>
        <v>P</v>
      </c>
      <c r="Y19" s="2" t="s">
        <v>174</v>
      </c>
      <c r="Z19" s="2" t="str">
        <f>VLOOKUP($A19&amp;Z$2,Sheet2!$D$1:$F$601,3,0)</f>
        <v>L</v>
      </c>
      <c r="AA19" s="2" t="str">
        <f>VLOOKUP($A19&amp;AA$2,Sheet2!$D$1:$F$601,3,0)</f>
        <v>L</v>
      </c>
      <c r="AB19" s="2" t="str">
        <f>VLOOKUP($A19&amp;AB$2,Sheet2!$D$1:$F$601,3,0)</f>
        <v>L</v>
      </c>
      <c r="AC19" s="2" t="str">
        <f>VLOOKUP($A19&amp;AC$2,Sheet2!$D$1:$F$601,3,0)</f>
        <v>P</v>
      </c>
      <c r="AD19" s="2" t="str">
        <f>VLOOKUP($A19&amp;AD$2,Sheet2!$D$1:$F$601,3,0)</f>
        <v>P</v>
      </c>
      <c r="AE19" s="2" t="str">
        <f>VLOOKUP($A19&amp;AE$2,Sheet2!$D$1:$F$601,3,0)</f>
        <v>P</v>
      </c>
      <c r="AF19" s="2" t="s">
        <v>174</v>
      </c>
      <c r="AG19" s="2" t="str">
        <f>VLOOKUP($A19&amp;AG$2,Sheet2!$D$1:$F$601,3,0)</f>
        <v>P</v>
      </c>
      <c r="AH19" s="2" t="str">
        <f>VLOOKUP($A19&amp;AH$2,Sheet2!$D$1:$F$601,3,0)</f>
        <v>A</v>
      </c>
      <c r="AI19" s="2" t="str">
        <f>VLOOKUP($A19&amp;AI$2,Sheet2!$D$1:$F$601,3,0)</f>
        <v>P</v>
      </c>
      <c r="AJ19" s="2" t="str">
        <f>VLOOKUP($A19&amp;AJ$2,Sheet2!$D$1:$F$601,3,0)</f>
        <v>P</v>
      </c>
      <c r="AK19" s="2" t="str">
        <f>VLOOKUP($A19&amp;AK$2,Sheet2!$D$1:$F$601,3,0)</f>
        <v>P</v>
      </c>
      <c r="AL19" s="2" t="str">
        <f>VLOOKUP($A19&amp;AL$2,Sheet2!$D$1:$F$601,3,0)</f>
        <v>P</v>
      </c>
      <c r="AM19" s="2" t="s">
        <v>174</v>
      </c>
      <c r="AN19" s="2" t="str">
        <f>VLOOKUP($A19&amp;AN$2,Sheet2!$D$1:$F$601,3,0)</f>
        <v>A</v>
      </c>
      <c r="AO19" s="2" t="str">
        <f>VLOOKUP($A19&amp;AO$2,Sheet2!$D$1:$F$601,3,0)</f>
        <v>P</v>
      </c>
      <c r="AP19" s="2" t="str">
        <f>VLOOKUP($A19&amp;AP$2,Sheet2!$D$1:$F$601,3,0)</f>
        <v>P</v>
      </c>
      <c r="AQ19" s="2" t="str">
        <f>VLOOKUP($A19&amp;AQ$2,Sheet2!$D$1:$F$601,3,0)</f>
        <v>P</v>
      </c>
      <c r="AR19" s="2" t="str">
        <f>VLOOKUP($A19&amp;AR$2,Sheet2!$D$1:$F$601,3,0)</f>
        <v>P</v>
      </c>
      <c r="AS19" s="2" t="str">
        <f>VLOOKUP($A19&amp;AS$2,Sheet2!$D$1:$F$601,3,0)</f>
        <v>L</v>
      </c>
      <c r="AT19" s="2" t="s">
        <v>174</v>
      </c>
      <c r="AU19" s="2" t="str">
        <f>VLOOKUP($A19&amp;AU$2,Sheet2!$D$1:$F$601,3,0)</f>
        <v>P</v>
      </c>
      <c r="AV19" s="2" t="str">
        <f>VLOOKUP($A19&amp;AV$2,Sheet2!$D$1:$F$601,3,0)</f>
        <v>P</v>
      </c>
      <c r="AW19" s="2">
        <f t="shared" si="1"/>
        <v>18</v>
      </c>
      <c r="AX19" s="2">
        <f t="shared" si="2"/>
        <v>3</v>
      </c>
      <c r="AY19" s="2">
        <f t="shared" si="3"/>
        <v>0</v>
      </c>
      <c r="AZ19" s="2">
        <f t="shared" si="4"/>
        <v>5</v>
      </c>
      <c r="BA19" s="2">
        <f t="shared" si="5"/>
        <v>4</v>
      </c>
      <c r="BB19" s="2">
        <f t="shared" si="6"/>
        <v>0</v>
      </c>
      <c r="BC19" s="2">
        <f t="shared" si="7"/>
        <v>23</v>
      </c>
      <c r="BD19" s="2">
        <v>16000</v>
      </c>
      <c r="BE19" s="3">
        <f t="shared" si="8"/>
        <v>12266.666666666668</v>
      </c>
      <c r="BF19" s="3">
        <f t="shared" si="9"/>
        <v>2453.3333333333335</v>
      </c>
      <c r="BG19" s="3">
        <f t="shared" si="10"/>
        <v>4906.666666666667</v>
      </c>
      <c r="BH19" s="3">
        <v>1733</v>
      </c>
      <c r="BI19" s="3">
        <f>VLOOKUP(A19,Sheet3!$A$1:$E$21,5,0)</f>
        <v>0</v>
      </c>
      <c r="BJ19" s="3">
        <f t="shared" si="11"/>
        <v>21359.666666666668</v>
      </c>
      <c r="BK19" s="3">
        <f t="shared" si="12"/>
        <v>1766.4</v>
      </c>
      <c r="BL19" s="13">
        <f t="shared" si="13"/>
        <v>0</v>
      </c>
      <c r="BM19" s="3">
        <f t="shared" si="14"/>
        <v>540.22400000000005</v>
      </c>
      <c r="BN19" s="3">
        <f t="shared" si="15"/>
        <v>1226.1760000000002</v>
      </c>
      <c r="BO19" s="3">
        <f t="shared" si="16"/>
        <v>0</v>
      </c>
      <c r="BP19" s="2">
        <f t="shared" si="17"/>
        <v>150</v>
      </c>
      <c r="BQ19" s="3">
        <f t="shared" si="18"/>
        <v>0</v>
      </c>
      <c r="BR19" s="2">
        <v>0</v>
      </c>
      <c r="BS19" s="3">
        <f t="shared" si="19"/>
        <v>19443.266666666666</v>
      </c>
    </row>
    <row r="20" spans="1:71" x14ac:dyDescent="0.25">
      <c r="A20" s="2" t="s">
        <v>50</v>
      </c>
      <c r="B20" s="2" t="s">
        <v>51</v>
      </c>
      <c r="C20" s="2" t="s">
        <v>14</v>
      </c>
      <c r="D20" s="2" t="s">
        <v>20</v>
      </c>
      <c r="E20" s="2">
        <v>4570194171</v>
      </c>
      <c r="F20" s="3">
        <v>356977270812</v>
      </c>
      <c r="G20" s="2">
        <v>6156278088</v>
      </c>
      <c r="H20" s="2">
        <v>6572169474</v>
      </c>
      <c r="I20" s="2">
        <v>6156278088</v>
      </c>
      <c r="J20" s="2">
        <v>5846863942</v>
      </c>
      <c r="K20" s="2" t="s">
        <v>148</v>
      </c>
      <c r="L20" s="3">
        <v>477691099666</v>
      </c>
      <c r="M20" s="2" t="s">
        <v>149</v>
      </c>
      <c r="N20" s="2" t="s">
        <v>150</v>
      </c>
      <c r="O20" s="2">
        <v>860387</v>
      </c>
      <c r="P20" s="4">
        <v>44293</v>
      </c>
      <c r="Q20" s="2" t="s">
        <v>80</v>
      </c>
      <c r="R20" s="6" t="s">
        <v>151</v>
      </c>
      <c r="S20" s="2" t="str">
        <f>VLOOKUP($A20&amp;S$2,Sheet2!$D$1:$F$601,3,0)</f>
        <v>L</v>
      </c>
      <c r="T20" s="2" t="str">
        <f>VLOOKUP($A20&amp;T$2,Sheet2!$D$1:$F$601,3,0)</f>
        <v>A</v>
      </c>
      <c r="U20" s="2" t="str">
        <f>VLOOKUP($A20&amp;U$2,Sheet2!$D$1:$F$601,3,0)</f>
        <v>P</v>
      </c>
      <c r="V20" s="2" t="str">
        <f>VLOOKUP($A20&amp;V$2,Sheet2!$D$1:$F$601,3,0)</f>
        <v>L</v>
      </c>
      <c r="W20" s="2" t="str">
        <f>VLOOKUP($A20&amp;W$2,Sheet2!$D$1:$F$601,3,0)</f>
        <v>P</v>
      </c>
      <c r="X20" s="2" t="str">
        <f>VLOOKUP($A20&amp;X$2,Sheet2!$D$1:$F$601,3,0)</f>
        <v>P</v>
      </c>
      <c r="Y20" s="2" t="s">
        <v>174</v>
      </c>
      <c r="Z20" s="2" t="str">
        <f>VLOOKUP($A20&amp;Z$2,Sheet2!$D$1:$F$601,3,0)</f>
        <v>P</v>
      </c>
      <c r="AA20" s="2" t="str">
        <f>VLOOKUP($A20&amp;AA$2,Sheet2!$D$1:$F$601,3,0)</f>
        <v>P</v>
      </c>
      <c r="AB20" s="2" t="str">
        <f>VLOOKUP($A20&amp;AB$2,Sheet2!$D$1:$F$601,3,0)</f>
        <v>A</v>
      </c>
      <c r="AC20" s="2" t="str">
        <f>VLOOKUP($A20&amp;AC$2,Sheet2!$D$1:$F$601,3,0)</f>
        <v>P</v>
      </c>
      <c r="AD20" s="2" t="str">
        <f>VLOOKUP($A20&amp;AD$2,Sheet2!$D$1:$F$601,3,0)</f>
        <v>P</v>
      </c>
      <c r="AE20" s="2" t="str">
        <f>VLOOKUP($A20&amp;AE$2,Sheet2!$D$1:$F$601,3,0)</f>
        <v>P</v>
      </c>
      <c r="AF20" s="2" t="s">
        <v>174</v>
      </c>
      <c r="AG20" s="2" t="str">
        <f>VLOOKUP($A20&amp;AG$2,Sheet2!$D$1:$F$601,3,0)</f>
        <v>P</v>
      </c>
      <c r="AH20" s="2" t="str">
        <f>VLOOKUP($A20&amp;AH$2,Sheet2!$D$1:$F$601,3,0)</f>
        <v>P</v>
      </c>
      <c r="AI20" s="2" t="str">
        <f>VLOOKUP($A20&amp;AI$2,Sheet2!$D$1:$F$601,3,0)</f>
        <v>A</v>
      </c>
      <c r="AJ20" s="2" t="str">
        <f>VLOOKUP($A20&amp;AJ$2,Sheet2!$D$1:$F$601,3,0)</f>
        <v>P</v>
      </c>
      <c r="AK20" s="2" t="str">
        <f>VLOOKUP($A20&amp;AK$2,Sheet2!$D$1:$F$601,3,0)</f>
        <v>P</v>
      </c>
      <c r="AL20" s="2" t="str">
        <f>VLOOKUP($A20&amp;AL$2,Sheet2!$D$1:$F$601,3,0)</f>
        <v>L</v>
      </c>
      <c r="AM20" s="2" t="s">
        <v>174</v>
      </c>
      <c r="AN20" s="2" t="str">
        <f>VLOOKUP($A20&amp;AN$2,Sheet2!$D$1:$F$601,3,0)</f>
        <v>P</v>
      </c>
      <c r="AO20" s="2" t="str">
        <f>VLOOKUP($A20&amp;AO$2,Sheet2!$D$1:$F$601,3,0)</f>
        <v>P</v>
      </c>
      <c r="AP20" s="2" t="str">
        <f>VLOOKUP($A20&amp;AP$2,Sheet2!$D$1:$F$601,3,0)</f>
        <v>P</v>
      </c>
      <c r="AQ20" s="2" t="str">
        <f>VLOOKUP($A20&amp;AQ$2,Sheet2!$D$1:$F$601,3,0)</f>
        <v>P</v>
      </c>
      <c r="AR20" s="2" t="str">
        <f>VLOOKUP($A20&amp;AR$2,Sheet2!$D$1:$F$601,3,0)</f>
        <v>P</v>
      </c>
      <c r="AS20" s="2" t="str">
        <f>VLOOKUP($A20&amp;AS$2,Sheet2!$D$1:$F$601,3,0)</f>
        <v>P</v>
      </c>
      <c r="AT20" s="2" t="s">
        <v>174</v>
      </c>
      <c r="AU20" s="2" t="str">
        <f>VLOOKUP($A20&amp;AU$2,Sheet2!$D$1:$F$601,3,0)</f>
        <v>P</v>
      </c>
      <c r="AV20" s="2" t="str">
        <f>VLOOKUP($A20&amp;AV$2,Sheet2!$D$1:$F$601,3,0)</f>
        <v>A</v>
      </c>
      <c r="AW20" s="2">
        <f t="shared" si="1"/>
        <v>19</v>
      </c>
      <c r="AX20" s="2">
        <f t="shared" si="2"/>
        <v>4</v>
      </c>
      <c r="AY20" s="2">
        <f t="shared" si="3"/>
        <v>0</v>
      </c>
      <c r="AZ20" s="2">
        <f t="shared" si="4"/>
        <v>3</v>
      </c>
      <c r="BA20" s="2">
        <f t="shared" si="5"/>
        <v>4</v>
      </c>
      <c r="BB20" s="2">
        <f t="shared" si="6"/>
        <v>0</v>
      </c>
      <c r="BC20" s="2">
        <f t="shared" si="7"/>
        <v>24</v>
      </c>
      <c r="BD20" s="2">
        <v>16000</v>
      </c>
      <c r="BE20" s="3">
        <f t="shared" si="8"/>
        <v>12800</v>
      </c>
      <c r="BF20" s="3">
        <f t="shared" si="9"/>
        <v>2560</v>
      </c>
      <c r="BG20" s="3">
        <f t="shared" si="10"/>
        <v>5120</v>
      </c>
      <c r="BH20" s="3">
        <v>2369</v>
      </c>
      <c r="BI20" s="3">
        <f>VLOOKUP(A20,Sheet3!$A$1:$E$21,5,0)</f>
        <v>0</v>
      </c>
      <c r="BJ20" s="3">
        <f t="shared" si="11"/>
        <v>22849</v>
      </c>
      <c r="BK20" s="3">
        <f t="shared" si="12"/>
        <v>1800</v>
      </c>
      <c r="BL20" s="13">
        <f t="shared" si="13"/>
        <v>0</v>
      </c>
      <c r="BM20" s="3">
        <f t="shared" si="14"/>
        <v>550.5</v>
      </c>
      <c r="BN20" s="3">
        <f t="shared" si="15"/>
        <v>1249.5</v>
      </c>
      <c r="BO20" s="3">
        <f t="shared" si="16"/>
        <v>0</v>
      </c>
      <c r="BP20" s="2">
        <f t="shared" si="17"/>
        <v>150</v>
      </c>
      <c r="BQ20" s="3">
        <f t="shared" si="18"/>
        <v>0</v>
      </c>
      <c r="BR20" s="2">
        <v>0</v>
      </c>
      <c r="BS20" s="3">
        <f t="shared" si="19"/>
        <v>20899</v>
      </c>
    </row>
    <row r="21" spans="1:71" x14ac:dyDescent="0.25">
      <c r="A21" s="2" t="s">
        <v>52</v>
      </c>
      <c r="B21" s="2" t="s">
        <v>53</v>
      </c>
      <c r="C21" s="2" t="s">
        <v>10</v>
      </c>
      <c r="D21" s="2" t="s">
        <v>15</v>
      </c>
      <c r="E21" s="2">
        <v>6291079775</v>
      </c>
      <c r="F21" s="3">
        <v>473210180239</v>
      </c>
      <c r="G21" s="2">
        <v>7408432483</v>
      </c>
      <c r="H21" s="2">
        <v>3610967467</v>
      </c>
      <c r="I21" s="2">
        <v>7408432483</v>
      </c>
      <c r="J21" s="2">
        <v>2557177995</v>
      </c>
      <c r="K21" s="2" t="s">
        <v>152</v>
      </c>
      <c r="L21" s="3">
        <v>597078746973</v>
      </c>
      <c r="M21" s="2" t="s">
        <v>153</v>
      </c>
      <c r="N21" s="2" t="s">
        <v>154</v>
      </c>
      <c r="O21" s="2">
        <v>964787</v>
      </c>
      <c r="P21" s="4">
        <v>42308</v>
      </c>
      <c r="Q21" s="2" t="s">
        <v>80</v>
      </c>
      <c r="R21" s="6" t="s">
        <v>155</v>
      </c>
      <c r="S21" s="2" t="str">
        <f>VLOOKUP($A21&amp;S$2,Sheet2!$D$1:$F$601,3,0)</f>
        <v>P</v>
      </c>
      <c r="T21" s="2" t="str">
        <f>VLOOKUP($A21&amp;T$2,Sheet2!$D$1:$F$601,3,0)</f>
        <v>L</v>
      </c>
      <c r="U21" s="2" t="str">
        <f>VLOOKUP($A21&amp;U$2,Sheet2!$D$1:$F$601,3,0)</f>
        <v>P</v>
      </c>
      <c r="V21" s="2" t="str">
        <f>VLOOKUP($A21&amp;V$2,Sheet2!$D$1:$F$601,3,0)</f>
        <v>L</v>
      </c>
      <c r="W21" s="2" t="str">
        <f>VLOOKUP($A21&amp;W$2,Sheet2!$D$1:$F$601,3,0)</f>
        <v>P</v>
      </c>
      <c r="X21" s="2" t="str">
        <f>VLOOKUP($A21&amp;X$2,Sheet2!$D$1:$F$601,3,0)</f>
        <v>P</v>
      </c>
      <c r="Y21" s="2" t="s">
        <v>174</v>
      </c>
      <c r="Z21" s="2" t="str">
        <f>VLOOKUP($A21&amp;Z$2,Sheet2!$D$1:$F$601,3,0)</f>
        <v>P</v>
      </c>
      <c r="AA21" s="2" t="str">
        <f>VLOOKUP($A21&amp;AA$2,Sheet2!$D$1:$F$601,3,0)</f>
        <v>A</v>
      </c>
      <c r="AB21" s="2" t="str">
        <f>VLOOKUP($A21&amp;AB$2,Sheet2!$D$1:$F$601,3,0)</f>
        <v>P</v>
      </c>
      <c r="AC21" s="2" t="str">
        <f>VLOOKUP($A21&amp;AC$2,Sheet2!$D$1:$F$601,3,0)</f>
        <v>P</v>
      </c>
      <c r="AD21" s="2" t="str">
        <f>VLOOKUP($A21&amp;AD$2,Sheet2!$D$1:$F$601,3,0)</f>
        <v>L</v>
      </c>
      <c r="AE21" s="2" t="str">
        <f>VLOOKUP($A21&amp;AE$2,Sheet2!$D$1:$F$601,3,0)</f>
        <v>A</v>
      </c>
      <c r="AF21" s="2" t="s">
        <v>174</v>
      </c>
      <c r="AG21" s="2" t="str">
        <f>VLOOKUP($A21&amp;AG$2,Sheet2!$D$1:$F$601,3,0)</f>
        <v>P</v>
      </c>
      <c r="AH21" s="2" t="str">
        <f>VLOOKUP($A21&amp;AH$2,Sheet2!$D$1:$F$601,3,0)</f>
        <v>P</v>
      </c>
      <c r="AI21" s="2" t="str">
        <f>VLOOKUP($A21&amp;AI$2,Sheet2!$D$1:$F$601,3,0)</f>
        <v>P</v>
      </c>
      <c r="AJ21" s="2" t="str">
        <f>VLOOKUP($A21&amp;AJ$2,Sheet2!$D$1:$F$601,3,0)</f>
        <v>A</v>
      </c>
      <c r="AK21" s="2" t="str">
        <f>VLOOKUP($A21&amp;AK$2,Sheet2!$D$1:$F$601,3,0)</f>
        <v>L</v>
      </c>
      <c r="AL21" s="2" t="str">
        <f>VLOOKUP($A21&amp;AL$2,Sheet2!$D$1:$F$601,3,0)</f>
        <v>A</v>
      </c>
      <c r="AM21" s="2" t="s">
        <v>174</v>
      </c>
      <c r="AN21" s="2" t="str">
        <f>VLOOKUP($A21&amp;AN$2,Sheet2!$D$1:$F$601,3,0)</f>
        <v>L</v>
      </c>
      <c r="AO21" s="2" t="str">
        <f>VLOOKUP($A21&amp;AO$2,Sheet2!$D$1:$F$601,3,0)</f>
        <v>P</v>
      </c>
      <c r="AP21" s="2" t="str">
        <f>VLOOKUP($A21&amp;AP$2,Sheet2!$D$1:$F$601,3,0)</f>
        <v>P</v>
      </c>
      <c r="AQ21" s="2" t="str">
        <f>VLOOKUP($A21&amp;AQ$2,Sheet2!$D$1:$F$601,3,0)</f>
        <v>A</v>
      </c>
      <c r="AR21" s="2" t="str">
        <f>VLOOKUP($A21&amp;AR$2,Sheet2!$D$1:$F$601,3,0)</f>
        <v>P</v>
      </c>
      <c r="AS21" s="2" t="str">
        <f>VLOOKUP($A21&amp;AS$2,Sheet2!$D$1:$F$601,3,0)</f>
        <v>P</v>
      </c>
      <c r="AT21" s="2" t="s">
        <v>174</v>
      </c>
      <c r="AU21" s="2" t="str">
        <f>VLOOKUP($A21&amp;AU$2,Sheet2!$D$1:$F$601,3,0)</f>
        <v>P</v>
      </c>
      <c r="AV21" s="2" t="str">
        <f>VLOOKUP($A21&amp;AV$2,Sheet2!$D$1:$F$601,3,0)</f>
        <v>P</v>
      </c>
      <c r="AW21" s="2">
        <f t="shared" si="1"/>
        <v>16</v>
      </c>
      <c r="AX21" s="2">
        <f t="shared" si="2"/>
        <v>5</v>
      </c>
      <c r="AY21" s="2">
        <f t="shared" si="3"/>
        <v>0</v>
      </c>
      <c r="AZ21" s="2">
        <f t="shared" si="4"/>
        <v>5</v>
      </c>
      <c r="BA21" s="2">
        <f t="shared" si="5"/>
        <v>4</v>
      </c>
      <c r="BB21" s="2">
        <f t="shared" si="6"/>
        <v>0</v>
      </c>
      <c r="BC21" s="2">
        <f t="shared" si="7"/>
        <v>21</v>
      </c>
      <c r="BD21" s="2">
        <v>16000</v>
      </c>
      <c r="BE21" s="3">
        <f t="shared" si="8"/>
        <v>11200</v>
      </c>
      <c r="BF21" s="3">
        <f t="shared" si="9"/>
        <v>2240</v>
      </c>
      <c r="BG21" s="3">
        <f t="shared" si="10"/>
        <v>4480</v>
      </c>
      <c r="BH21" s="3">
        <v>2209</v>
      </c>
      <c r="BI21" s="3">
        <f>VLOOKUP(A21,Sheet3!$A$1:$E$21,5,0)</f>
        <v>0</v>
      </c>
      <c r="BJ21" s="3">
        <f t="shared" si="11"/>
        <v>20129</v>
      </c>
      <c r="BK21" s="3">
        <f t="shared" si="12"/>
        <v>1612.8</v>
      </c>
      <c r="BL21" s="13">
        <f t="shared" si="13"/>
        <v>150.9675</v>
      </c>
      <c r="BM21" s="3">
        <f t="shared" si="14"/>
        <v>493.24799999999993</v>
      </c>
      <c r="BN21" s="3">
        <f t="shared" si="15"/>
        <v>1119.5519999999999</v>
      </c>
      <c r="BO21" s="3">
        <f t="shared" si="16"/>
        <v>654.1925</v>
      </c>
      <c r="BP21" s="2">
        <f t="shared" si="17"/>
        <v>150</v>
      </c>
      <c r="BQ21" s="3">
        <f t="shared" si="18"/>
        <v>0</v>
      </c>
      <c r="BR21" s="2">
        <v>0</v>
      </c>
      <c r="BS21" s="3">
        <f t="shared" si="19"/>
        <v>18215.232500000002</v>
      </c>
    </row>
    <row r="22" spans="1:71" x14ac:dyDescent="0.25">
      <c r="A22" s="2" t="s">
        <v>54</v>
      </c>
      <c r="B22" s="2" t="s">
        <v>55</v>
      </c>
      <c r="C22" s="2" t="s">
        <v>36</v>
      </c>
      <c r="D22" s="2" t="s">
        <v>20</v>
      </c>
      <c r="E22" s="2">
        <v>2415461283</v>
      </c>
      <c r="F22" s="3">
        <v>850714871465</v>
      </c>
      <c r="G22" s="2">
        <v>6859350606</v>
      </c>
      <c r="H22" s="2">
        <v>8142533300</v>
      </c>
      <c r="I22" s="2">
        <v>6859350606</v>
      </c>
      <c r="J22" s="2">
        <v>5419992681</v>
      </c>
      <c r="K22" s="2" t="s">
        <v>156</v>
      </c>
      <c r="L22" s="3">
        <v>832034152638</v>
      </c>
      <c r="M22" s="2" t="s">
        <v>157</v>
      </c>
      <c r="N22" s="2" t="s">
        <v>158</v>
      </c>
      <c r="O22" s="2">
        <v>674589</v>
      </c>
      <c r="P22" s="4">
        <v>43452</v>
      </c>
      <c r="Q22" s="2" t="s">
        <v>80</v>
      </c>
      <c r="R22" s="6" t="s">
        <v>159</v>
      </c>
      <c r="S22" s="2" t="str">
        <f>VLOOKUP($A22&amp;S$2,Sheet2!$D$1:$F$601,3,0)</f>
        <v>A</v>
      </c>
      <c r="T22" s="2" t="str">
        <f>VLOOKUP($A22&amp;T$2,Sheet2!$D$1:$F$601,3,0)</f>
        <v>P</v>
      </c>
      <c r="U22" s="2" t="str">
        <f>VLOOKUP($A22&amp;U$2,Sheet2!$D$1:$F$601,3,0)</f>
        <v>P</v>
      </c>
      <c r="V22" s="2" t="str">
        <f>VLOOKUP($A22&amp;V$2,Sheet2!$D$1:$F$601,3,0)</f>
        <v>L</v>
      </c>
      <c r="W22" s="2" t="str">
        <f>VLOOKUP($A22&amp;W$2,Sheet2!$D$1:$F$601,3,0)</f>
        <v>P</v>
      </c>
      <c r="X22" s="2" t="str">
        <f>VLOOKUP($A22&amp;X$2,Sheet2!$D$1:$F$601,3,0)</f>
        <v>A</v>
      </c>
      <c r="Y22" s="2" t="s">
        <v>174</v>
      </c>
      <c r="Z22" s="2" t="str">
        <f>VLOOKUP($A22&amp;Z$2,Sheet2!$D$1:$F$601,3,0)</f>
        <v>P</v>
      </c>
      <c r="AA22" s="2" t="str">
        <f>VLOOKUP($A22&amp;AA$2,Sheet2!$D$1:$F$601,3,0)</f>
        <v>P</v>
      </c>
      <c r="AB22" s="2" t="str">
        <f>VLOOKUP($A22&amp;AB$2,Sheet2!$D$1:$F$601,3,0)</f>
        <v>P</v>
      </c>
      <c r="AC22" s="2" t="str">
        <f>VLOOKUP($A22&amp;AC$2,Sheet2!$D$1:$F$601,3,0)</f>
        <v>P</v>
      </c>
      <c r="AD22" s="2" t="str">
        <f>VLOOKUP($A22&amp;AD$2,Sheet2!$D$1:$F$601,3,0)</f>
        <v>P</v>
      </c>
      <c r="AE22" s="2" t="str">
        <f>VLOOKUP($A22&amp;AE$2,Sheet2!$D$1:$F$601,3,0)</f>
        <v>P</v>
      </c>
      <c r="AF22" s="2" t="s">
        <v>174</v>
      </c>
      <c r="AG22" s="2" t="str">
        <f>VLOOKUP($A22&amp;AG$2,Sheet2!$D$1:$F$601,3,0)</f>
        <v>P</v>
      </c>
      <c r="AH22" s="2" t="str">
        <f>VLOOKUP($A22&amp;AH$2,Sheet2!$D$1:$F$601,3,0)</f>
        <v>P</v>
      </c>
      <c r="AI22" s="2" t="str">
        <f>VLOOKUP($A22&amp;AI$2,Sheet2!$D$1:$F$601,3,0)</f>
        <v>P</v>
      </c>
      <c r="AJ22" s="2" t="str">
        <f>VLOOKUP($A22&amp;AJ$2,Sheet2!$D$1:$F$601,3,0)</f>
        <v>P</v>
      </c>
      <c r="AK22" s="2" t="str">
        <f>VLOOKUP($A22&amp;AK$2,Sheet2!$D$1:$F$601,3,0)</f>
        <v>P</v>
      </c>
      <c r="AL22" s="2" t="str">
        <f>VLOOKUP($A22&amp;AL$2,Sheet2!$D$1:$F$601,3,0)</f>
        <v>P</v>
      </c>
      <c r="AM22" s="2" t="s">
        <v>174</v>
      </c>
      <c r="AN22" s="2" t="str">
        <f>VLOOKUP($A22&amp;AN$2,Sheet2!$D$1:$F$601,3,0)</f>
        <v>A</v>
      </c>
      <c r="AO22" s="2" t="str">
        <f>VLOOKUP($A22&amp;AO$2,Sheet2!$D$1:$F$601,3,0)</f>
        <v>P</v>
      </c>
      <c r="AP22" s="2" t="str">
        <f>VLOOKUP($A22&amp;AP$2,Sheet2!$D$1:$F$601,3,0)</f>
        <v>P</v>
      </c>
      <c r="AQ22" s="2" t="str">
        <f>VLOOKUP($A22&amp;AQ$2,Sheet2!$D$1:$F$601,3,0)</f>
        <v>P</v>
      </c>
      <c r="AR22" s="2" t="str">
        <f>VLOOKUP($A22&amp;AR$2,Sheet2!$D$1:$F$601,3,0)</f>
        <v>P</v>
      </c>
      <c r="AS22" s="2" t="str">
        <f>VLOOKUP($A22&amp;AS$2,Sheet2!$D$1:$F$601,3,0)</f>
        <v>P</v>
      </c>
      <c r="AT22" s="2" t="s">
        <v>174</v>
      </c>
      <c r="AU22" s="2" t="str">
        <f>VLOOKUP($A22&amp;AU$2,Sheet2!$D$1:$F$601,3,0)</f>
        <v>L</v>
      </c>
      <c r="AV22" s="2" t="str">
        <f>VLOOKUP($A22&amp;AV$2,Sheet2!$D$1:$F$601,3,0)</f>
        <v>P</v>
      </c>
      <c r="AW22" s="2">
        <f t="shared" si="1"/>
        <v>21</v>
      </c>
      <c r="AX22" s="2">
        <f t="shared" si="2"/>
        <v>3</v>
      </c>
      <c r="AY22" s="2">
        <f t="shared" si="3"/>
        <v>0</v>
      </c>
      <c r="AZ22" s="2">
        <f t="shared" si="4"/>
        <v>2</v>
      </c>
      <c r="BA22" s="2">
        <f t="shared" si="5"/>
        <v>4</v>
      </c>
      <c r="BB22" s="2">
        <f t="shared" si="6"/>
        <v>0</v>
      </c>
      <c r="BC22" s="2">
        <f t="shared" si="7"/>
        <v>26</v>
      </c>
      <c r="BD22" s="2">
        <v>18000</v>
      </c>
      <c r="BE22" s="3">
        <f t="shared" si="8"/>
        <v>15600</v>
      </c>
      <c r="BF22" s="3">
        <f t="shared" si="9"/>
        <v>3120</v>
      </c>
      <c r="BG22" s="3">
        <f t="shared" si="10"/>
        <v>6240</v>
      </c>
      <c r="BH22" s="3">
        <v>2651</v>
      </c>
      <c r="BI22" s="3">
        <f>VLOOKUP(A22,Sheet3!$A$1:$E$21,5,0)</f>
        <v>0</v>
      </c>
      <c r="BJ22" s="3">
        <f t="shared" si="11"/>
        <v>27611</v>
      </c>
      <c r="BK22" s="3">
        <f t="shared" si="12"/>
        <v>1800</v>
      </c>
      <c r="BL22" s="13">
        <f t="shared" si="13"/>
        <v>0</v>
      </c>
      <c r="BM22" s="3">
        <f t="shared" si="14"/>
        <v>550.5</v>
      </c>
      <c r="BN22" s="3">
        <f t="shared" si="15"/>
        <v>1249.5</v>
      </c>
      <c r="BO22" s="3">
        <f t="shared" si="16"/>
        <v>0</v>
      </c>
      <c r="BP22" s="2">
        <f t="shared" si="17"/>
        <v>200</v>
      </c>
      <c r="BQ22" s="3">
        <f t="shared" si="18"/>
        <v>0</v>
      </c>
      <c r="BR22" s="2">
        <v>0</v>
      </c>
      <c r="BS22" s="3">
        <f t="shared" si="19"/>
        <v>25611</v>
      </c>
    </row>
    <row r="25" spans="1:71" x14ac:dyDescent="0.25">
      <c r="BH25" s="12" t="s">
        <v>192</v>
      </c>
    </row>
    <row r="27" spans="1:71" x14ac:dyDescent="0.25">
      <c r="BA27" s="12"/>
      <c r="BB27" s="12"/>
      <c r="BH27" s="7">
        <v>0</v>
      </c>
      <c r="BI27" s="7">
        <v>400000</v>
      </c>
      <c r="BJ27" s="7">
        <v>0</v>
      </c>
    </row>
    <row r="28" spans="1:71" x14ac:dyDescent="0.25">
      <c r="BH28" s="7">
        <v>400001</v>
      </c>
      <c r="BI28" s="7">
        <v>800000</v>
      </c>
      <c r="BJ28" s="15">
        <v>0.05</v>
      </c>
      <c r="BL28" s="17"/>
      <c r="BM28" s="17"/>
      <c r="BN28" s="17"/>
      <c r="BO28" s="18"/>
      <c r="BP28" s="17"/>
      <c r="BQ28" s="19"/>
    </row>
    <row r="29" spans="1:71" x14ac:dyDescent="0.25">
      <c r="BH29" s="7">
        <v>800001</v>
      </c>
      <c r="BI29" s="7">
        <v>1200000</v>
      </c>
      <c r="BJ29" s="15">
        <v>0.1</v>
      </c>
    </row>
    <row r="30" spans="1:71" x14ac:dyDescent="0.25">
      <c r="BH30" s="7">
        <v>1200001</v>
      </c>
      <c r="BI30" s="7">
        <v>1600000</v>
      </c>
      <c r="BJ30" s="15">
        <v>0.15</v>
      </c>
    </row>
    <row r="31" spans="1:71" x14ac:dyDescent="0.25">
      <c r="BH31" s="7">
        <v>1600001</v>
      </c>
      <c r="BI31" s="7">
        <v>2000000</v>
      </c>
      <c r="BJ31" s="15">
        <v>0.2</v>
      </c>
    </row>
    <row r="32" spans="1:71" x14ac:dyDescent="0.25">
      <c r="BH32" s="7">
        <v>2000001</v>
      </c>
      <c r="BI32" s="7">
        <v>2400000</v>
      </c>
      <c r="BJ32" s="15">
        <v>0.25</v>
      </c>
    </row>
    <row r="33" spans="60:62" x14ac:dyDescent="0.25">
      <c r="BH33" s="7">
        <v>2400000</v>
      </c>
      <c r="BI33" s="7" t="s">
        <v>193</v>
      </c>
      <c r="BJ33" s="15">
        <v>0.3</v>
      </c>
    </row>
    <row r="35" spans="60:62" x14ac:dyDescent="0.25">
      <c r="BH35" s="16"/>
    </row>
    <row r="37" spans="60:62" x14ac:dyDescent="0.25">
      <c r="BH37" s="16"/>
      <c r="BI37" s="14"/>
      <c r="BJ37" s="12"/>
    </row>
    <row r="38" spans="60:62" x14ac:dyDescent="0.25">
      <c r="BH38" s="16"/>
      <c r="BI38" s="14"/>
      <c r="BJ38" s="12"/>
    </row>
    <row r="39" spans="60:62" x14ac:dyDescent="0.25">
      <c r="BH39" s="16"/>
      <c r="BI39" s="14"/>
      <c r="BJ39" s="12"/>
    </row>
    <row r="40" spans="60:62" x14ac:dyDescent="0.25">
      <c r="BI40" s="12"/>
      <c r="BJ40" s="12"/>
    </row>
    <row r="41" spans="60:62" x14ac:dyDescent="0.25">
      <c r="BJ41" s="1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7F05-B1B0-46B0-97F2-CFA7C85C4643}">
  <dimension ref="A1:F601"/>
  <sheetViews>
    <sheetView topLeftCell="A436" workbookViewId="0">
      <selection activeCell="D450" sqref="A1:F601"/>
    </sheetView>
  </sheetViews>
  <sheetFormatPr defaultRowHeight="15" x14ac:dyDescent="0.25"/>
  <cols>
    <col min="1" max="1" width="7.42578125" bestFit="1" customWidth="1"/>
    <col min="2" max="2" width="16.5703125" bestFit="1" customWidth="1"/>
    <col min="3" max="3" width="10.42578125" bestFit="1" customWidth="1"/>
    <col min="4" max="4" width="12" bestFit="1" customWidth="1"/>
    <col min="5" max="5" width="5.140625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160</v>
      </c>
      <c r="D1" s="1" t="s">
        <v>173</v>
      </c>
      <c r="E1" s="1" t="s">
        <v>80</v>
      </c>
      <c r="F1" s="1" t="s">
        <v>161</v>
      </c>
    </row>
    <row r="2" spans="1:6" x14ac:dyDescent="0.25">
      <c r="A2" s="2" t="s">
        <v>4</v>
      </c>
      <c r="B2" s="2" t="s">
        <v>5</v>
      </c>
      <c r="C2" s="4">
        <v>45901</v>
      </c>
      <c r="D2" s="4" t="str">
        <f>A2&amp;C2</f>
        <v>E0000145901</v>
      </c>
      <c r="E2" s="2" t="s">
        <v>166</v>
      </c>
      <c r="F2" s="2" t="s">
        <v>165</v>
      </c>
    </row>
    <row r="3" spans="1:6" x14ac:dyDescent="0.25">
      <c r="A3" s="2" t="s">
        <v>4</v>
      </c>
      <c r="B3" s="2" t="s">
        <v>5</v>
      </c>
      <c r="C3" s="4">
        <v>45902</v>
      </c>
      <c r="D3" s="4" t="str">
        <f t="shared" ref="D3:D66" si="0">A3&amp;C3</f>
        <v>E0000145902</v>
      </c>
      <c r="E3" s="2" t="s">
        <v>167</v>
      </c>
      <c r="F3" s="2" t="s">
        <v>162</v>
      </c>
    </row>
    <row r="4" spans="1:6" x14ac:dyDescent="0.25">
      <c r="A4" s="2" t="s">
        <v>4</v>
      </c>
      <c r="B4" s="2" t="s">
        <v>5</v>
      </c>
      <c r="C4" s="4">
        <v>45903</v>
      </c>
      <c r="D4" s="4" t="str">
        <f t="shared" si="0"/>
        <v>E0000145903</v>
      </c>
      <c r="E4" s="2" t="s">
        <v>168</v>
      </c>
      <c r="F4" s="2" t="s">
        <v>162</v>
      </c>
    </row>
    <row r="5" spans="1:6" x14ac:dyDescent="0.25">
      <c r="A5" s="2" t="s">
        <v>4</v>
      </c>
      <c r="B5" s="2" t="s">
        <v>5</v>
      </c>
      <c r="C5" s="4">
        <v>45904</v>
      </c>
      <c r="D5" s="4" t="str">
        <f t="shared" si="0"/>
        <v>E0000145904</v>
      </c>
      <c r="E5" s="2" t="s">
        <v>169</v>
      </c>
      <c r="F5" s="2" t="s">
        <v>162</v>
      </c>
    </row>
    <row r="6" spans="1:6" x14ac:dyDescent="0.25">
      <c r="A6" s="2" t="s">
        <v>4</v>
      </c>
      <c r="B6" s="2" t="s">
        <v>5</v>
      </c>
      <c r="C6" s="4">
        <v>45905</v>
      </c>
      <c r="D6" s="4" t="str">
        <f t="shared" si="0"/>
        <v>E0000145905</v>
      </c>
      <c r="E6" s="2" t="s">
        <v>170</v>
      </c>
      <c r="F6" s="2" t="s">
        <v>162</v>
      </c>
    </row>
    <row r="7" spans="1:6" x14ac:dyDescent="0.25">
      <c r="A7" s="2" t="s">
        <v>4</v>
      </c>
      <c r="B7" s="2" t="s">
        <v>5</v>
      </c>
      <c r="C7" s="4">
        <v>45906</v>
      </c>
      <c r="D7" s="4" t="str">
        <f t="shared" si="0"/>
        <v>E0000145906</v>
      </c>
      <c r="E7" s="2" t="s">
        <v>171</v>
      </c>
      <c r="F7" s="2" t="s">
        <v>162</v>
      </c>
    </row>
    <row r="8" spans="1:6" x14ac:dyDescent="0.25">
      <c r="A8" s="2" t="s">
        <v>4</v>
      </c>
      <c r="B8" s="2" t="s">
        <v>5</v>
      </c>
      <c r="C8" s="4">
        <v>45907</v>
      </c>
      <c r="D8" s="4" t="str">
        <f t="shared" si="0"/>
        <v>E0000145907</v>
      </c>
      <c r="E8" s="2" t="s">
        <v>172</v>
      </c>
      <c r="F8" s="2" t="s">
        <v>164</v>
      </c>
    </row>
    <row r="9" spans="1:6" x14ac:dyDescent="0.25">
      <c r="A9" s="2" t="s">
        <v>4</v>
      </c>
      <c r="B9" s="2" t="s">
        <v>5</v>
      </c>
      <c r="C9" s="4">
        <v>45908</v>
      </c>
      <c r="D9" s="4" t="str">
        <f t="shared" si="0"/>
        <v>E0000145908</v>
      </c>
      <c r="E9" s="2" t="s">
        <v>166</v>
      </c>
      <c r="F9" s="2" t="s">
        <v>162</v>
      </c>
    </row>
    <row r="10" spans="1:6" x14ac:dyDescent="0.25">
      <c r="A10" s="2" t="s">
        <v>4</v>
      </c>
      <c r="B10" s="2" t="s">
        <v>5</v>
      </c>
      <c r="C10" s="4">
        <v>45909</v>
      </c>
      <c r="D10" s="4" t="str">
        <f t="shared" si="0"/>
        <v>E0000145909</v>
      </c>
      <c r="E10" s="2" t="s">
        <v>167</v>
      </c>
      <c r="F10" s="2" t="s">
        <v>162</v>
      </c>
    </row>
    <row r="11" spans="1:6" x14ac:dyDescent="0.25">
      <c r="A11" s="2" t="s">
        <v>4</v>
      </c>
      <c r="B11" s="2" t="s">
        <v>5</v>
      </c>
      <c r="C11" s="4">
        <v>45910</v>
      </c>
      <c r="D11" s="4" t="str">
        <f t="shared" si="0"/>
        <v>E0000145910</v>
      </c>
      <c r="E11" s="2" t="s">
        <v>168</v>
      </c>
      <c r="F11" s="2" t="s">
        <v>162</v>
      </c>
    </row>
    <row r="12" spans="1:6" x14ac:dyDescent="0.25">
      <c r="A12" s="2" t="s">
        <v>4</v>
      </c>
      <c r="B12" s="2" t="s">
        <v>5</v>
      </c>
      <c r="C12" s="4">
        <v>45911</v>
      </c>
      <c r="D12" s="4" t="str">
        <f t="shared" si="0"/>
        <v>E0000145911</v>
      </c>
      <c r="E12" s="2" t="s">
        <v>169</v>
      </c>
      <c r="F12" s="2" t="s">
        <v>165</v>
      </c>
    </row>
    <row r="13" spans="1:6" x14ac:dyDescent="0.25">
      <c r="A13" s="2" t="s">
        <v>4</v>
      </c>
      <c r="B13" s="2" t="s">
        <v>5</v>
      </c>
      <c r="C13" s="4">
        <v>45912</v>
      </c>
      <c r="D13" s="4" t="str">
        <f t="shared" si="0"/>
        <v>E0000145912</v>
      </c>
      <c r="E13" s="2" t="s">
        <v>170</v>
      </c>
      <c r="F13" s="2" t="s">
        <v>162</v>
      </c>
    </row>
    <row r="14" spans="1:6" x14ac:dyDescent="0.25">
      <c r="A14" s="2" t="s">
        <v>4</v>
      </c>
      <c r="B14" s="2" t="s">
        <v>5</v>
      </c>
      <c r="C14" s="4">
        <v>45913</v>
      </c>
      <c r="D14" s="4" t="str">
        <f t="shared" si="0"/>
        <v>E0000145913</v>
      </c>
      <c r="E14" s="2" t="s">
        <v>171</v>
      </c>
      <c r="F14" s="2" t="s">
        <v>162</v>
      </c>
    </row>
    <row r="15" spans="1:6" x14ac:dyDescent="0.25">
      <c r="A15" s="2" t="s">
        <v>4</v>
      </c>
      <c r="B15" s="2" t="s">
        <v>5</v>
      </c>
      <c r="C15" s="4">
        <v>45914</v>
      </c>
      <c r="D15" s="4" t="str">
        <f t="shared" si="0"/>
        <v>E0000145914</v>
      </c>
      <c r="E15" s="2" t="s">
        <v>172</v>
      </c>
      <c r="F15" s="2" t="s">
        <v>164</v>
      </c>
    </row>
    <row r="16" spans="1:6" x14ac:dyDescent="0.25">
      <c r="A16" s="2" t="s">
        <v>4</v>
      </c>
      <c r="B16" s="2" t="s">
        <v>5</v>
      </c>
      <c r="C16" s="4">
        <v>45915</v>
      </c>
      <c r="D16" s="4" t="str">
        <f t="shared" si="0"/>
        <v>E0000145915</v>
      </c>
      <c r="E16" s="2" t="s">
        <v>166</v>
      </c>
      <c r="F16" s="2" t="s">
        <v>163</v>
      </c>
    </row>
    <row r="17" spans="1:6" x14ac:dyDescent="0.25">
      <c r="A17" s="2" t="s">
        <v>4</v>
      </c>
      <c r="B17" s="2" t="s">
        <v>5</v>
      </c>
      <c r="C17" s="4">
        <v>45916</v>
      </c>
      <c r="D17" s="4" t="str">
        <f t="shared" si="0"/>
        <v>E0000145916</v>
      </c>
      <c r="E17" s="2" t="s">
        <v>167</v>
      </c>
      <c r="F17" s="2" t="s">
        <v>162</v>
      </c>
    </row>
    <row r="18" spans="1:6" x14ac:dyDescent="0.25">
      <c r="A18" s="2" t="s">
        <v>4</v>
      </c>
      <c r="B18" s="2" t="s">
        <v>5</v>
      </c>
      <c r="C18" s="4">
        <v>45917</v>
      </c>
      <c r="D18" s="4" t="str">
        <f t="shared" si="0"/>
        <v>E0000145917</v>
      </c>
      <c r="E18" s="2" t="s">
        <v>168</v>
      </c>
      <c r="F18" s="2" t="s">
        <v>163</v>
      </c>
    </row>
    <row r="19" spans="1:6" x14ac:dyDescent="0.25">
      <c r="A19" s="2" t="s">
        <v>4</v>
      </c>
      <c r="B19" s="2" t="s">
        <v>5</v>
      </c>
      <c r="C19" s="4">
        <v>45918</v>
      </c>
      <c r="D19" s="4" t="str">
        <f t="shared" si="0"/>
        <v>E0000145918</v>
      </c>
      <c r="E19" s="2" t="s">
        <v>169</v>
      </c>
      <c r="F19" s="2" t="s">
        <v>162</v>
      </c>
    </row>
    <row r="20" spans="1:6" x14ac:dyDescent="0.25">
      <c r="A20" s="2" t="s">
        <v>4</v>
      </c>
      <c r="B20" s="2" t="s">
        <v>5</v>
      </c>
      <c r="C20" s="4">
        <v>45919</v>
      </c>
      <c r="D20" s="4" t="str">
        <f t="shared" si="0"/>
        <v>E0000145919</v>
      </c>
      <c r="E20" s="2" t="s">
        <v>170</v>
      </c>
      <c r="F20" s="2" t="s">
        <v>162</v>
      </c>
    </row>
    <row r="21" spans="1:6" x14ac:dyDescent="0.25">
      <c r="A21" s="2" t="s">
        <v>4</v>
      </c>
      <c r="B21" s="2" t="s">
        <v>5</v>
      </c>
      <c r="C21" s="4">
        <v>45920</v>
      </c>
      <c r="D21" s="4" t="str">
        <f t="shared" si="0"/>
        <v>E0000145920</v>
      </c>
      <c r="E21" s="2" t="s">
        <v>171</v>
      </c>
      <c r="F21" s="2" t="s">
        <v>165</v>
      </c>
    </row>
    <row r="22" spans="1:6" x14ac:dyDescent="0.25">
      <c r="A22" s="2" t="s">
        <v>4</v>
      </c>
      <c r="B22" s="2" t="s">
        <v>5</v>
      </c>
      <c r="C22" s="4">
        <v>45921</v>
      </c>
      <c r="D22" s="4" t="str">
        <f t="shared" si="0"/>
        <v>E0000145921</v>
      </c>
      <c r="E22" s="2" t="s">
        <v>172</v>
      </c>
      <c r="F22" s="2" t="s">
        <v>164</v>
      </c>
    </row>
    <row r="23" spans="1:6" x14ac:dyDescent="0.25">
      <c r="A23" s="2" t="s">
        <v>4</v>
      </c>
      <c r="B23" s="2" t="s">
        <v>5</v>
      </c>
      <c r="C23" s="4">
        <v>45922</v>
      </c>
      <c r="D23" s="4" t="str">
        <f t="shared" si="0"/>
        <v>E0000145922</v>
      </c>
      <c r="E23" s="2" t="s">
        <v>166</v>
      </c>
      <c r="F23" s="2" t="s">
        <v>163</v>
      </c>
    </row>
    <row r="24" spans="1:6" x14ac:dyDescent="0.25">
      <c r="A24" s="2" t="s">
        <v>4</v>
      </c>
      <c r="B24" s="2" t="s">
        <v>5</v>
      </c>
      <c r="C24" s="4">
        <v>45923</v>
      </c>
      <c r="D24" s="4" t="str">
        <f t="shared" si="0"/>
        <v>E0000145923</v>
      </c>
      <c r="E24" s="2" t="s">
        <v>167</v>
      </c>
      <c r="F24" s="2" t="s">
        <v>163</v>
      </c>
    </row>
    <row r="25" spans="1:6" x14ac:dyDescent="0.25">
      <c r="A25" s="2" t="s">
        <v>4</v>
      </c>
      <c r="B25" s="2" t="s">
        <v>5</v>
      </c>
      <c r="C25" s="4">
        <v>45924</v>
      </c>
      <c r="D25" s="4" t="str">
        <f t="shared" si="0"/>
        <v>E0000145924</v>
      </c>
      <c r="E25" s="2" t="s">
        <v>168</v>
      </c>
      <c r="F25" s="2" t="s">
        <v>162</v>
      </c>
    </row>
    <row r="26" spans="1:6" x14ac:dyDescent="0.25">
      <c r="A26" s="2" t="s">
        <v>4</v>
      </c>
      <c r="B26" s="2" t="s">
        <v>5</v>
      </c>
      <c r="C26" s="4">
        <v>45925</v>
      </c>
      <c r="D26" s="4" t="str">
        <f t="shared" si="0"/>
        <v>E0000145925</v>
      </c>
      <c r="E26" s="2" t="s">
        <v>169</v>
      </c>
      <c r="F26" s="2" t="s">
        <v>162</v>
      </c>
    </row>
    <row r="27" spans="1:6" x14ac:dyDescent="0.25">
      <c r="A27" s="2" t="s">
        <v>4</v>
      </c>
      <c r="B27" s="2" t="s">
        <v>5</v>
      </c>
      <c r="C27" s="4">
        <v>45926</v>
      </c>
      <c r="D27" s="4" t="str">
        <f t="shared" si="0"/>
        <v>E0000145926</v>
      </c>
      <c r="E27" s="2" t="s">
        <v>170</v>
      </c>
      <c r="F27" s="2" t="s">
        <v>162</v>
      </c>
    </row>
    <row r="28" spans="1:6" x14ac:dyDescent="0.25">
      <c r="A28" s="2" t="s">
        <v>4</v>
      </c>
      <c r="B28" s="2" t="s">
        <v>5</v>
      </c>
      <c r="C28" s="4">
        <v>45927</v>
      </c>
      <c r="D28" s="4" t="str">
        <f t="shared" si="0"/>
        <v>E0000145927</v>
      </c>
      <c r="E28" s="2" t="s">
        <v>171</v>
      </c>
      <c r="F28" s="2" t="s">
        <v>162</v>
      </c>
    </row>
    <row r="29" spans="1:6" x14ac:dyDescent="0.25">
      <c r="A29" s="2" t="s">
        <v>4</v>
      </c>
      <c r="B29" s="2" t="s">
        <v>5</v>
      </c>
      <c r="C29" s="4">
        <v>45928</v>
      </c>
      <c r="D29" s="4" t="str">
        <f t="shared" si="0"/>
        <v>E0000145928</v>
      </c>
      <c r="E29" s="2" t="s">
        <v>172</v>
      </c>
      <c r="F29" s="2" t="s">
        <v>164</v>
      </c>
    </row>
    <row r="30" spans="1:6" x14ac:dyDescent="0.25">
      <c r="A30" s="2" t="s">
        <v>4</v>
      </c>
      <c r="B30" s="2" t="s">
        <v>5</v>
      </c>
      <c r="C30" s="4">
        <v>45929</v>
      </c>
      <c r="D30" s="4" t="str">
        <f t="shared" si="0"/>
        <v>E0000145929</v>
      </c>
      <c r="E30" s="2" t="s">
        <v>166</v>
      </c>
      <c r="F30" s="2" t="s">
        <v>162</v>
      </c>
    </row>
    <row r="31" spans="1:6" x14ac:dyDescent="0.25">
      <c r="A31" s="2" t="s">
        <v>4</v>
      </c>
      <c r="B31" s="2" t="s">
        <v>5</v>
      </c>
      <c r="C31" s="4">
        <v>45930</v>
      </c>
      <c r="D31" s="4" t="str">
        <f t="shared" si="0"/>
        <v>E0000145930</v>
      </c>
      <c r="E31" s="2" t="s">
        <v>167</v>
      </c>
      <c r="F31" s="2" t="s">
        <v>162</v>
      </c>
    </row>
    <row r="32" spans="1:6" x14ac:dyDescent="0.25">
      <c r="A32" s="2" t="s">
        <v>8</v>
      </c>
      <c r="B32" s="2" t="s">
        <v>9</v>
      </c>
      <c r="C32" s="4">
        <v>45901</v>
      </c>
      <c r="D32" s="4" t="str">
        <f t="shared" si="0"/>
        <v>E0000245901</v>
      </c>
      <c r="E32" s="2" t="s">
        <v>166</v>
      </c>
      <c r="F32" s="2" t="s">
        <v>162</v>
      </c>
    </row>
    <row r="33" spans="1:6" x14ac:dyDescent="0.25">
      <c r="A33" s="2" t="s">
        <v>8</v>
      </c>
      <c r="B33" s="2" t="s">
        <v>9</v>
      </c>
      <c r="C33" s="4">
        <v>45902</v>
      </c>
      <c r="D33" s="4" t="str">
        <f t="shared" si="0"/>
        <v>E0000245902</v>
      </c>
      <c r="E33" s="2" t="s">
        <v>167</v>
      </c>
      <c r="F33" s="2" t="s">
        <v>162</v>
      </c>
    </row>
    <row r="34" spans="1:6" x14ac:dyDescent="0.25">
      <c r="A34" s="2" t="s">
        <v>8</v>
      </c>
      <c r="B34" s="2" t="s">
        <v>9</v>
      </c>
      <c r="C34" s="4">
        <v>45903</v>
      </c>
      <c r="D34" s="4" t="str">
        <f t="shared" si="0"/>
        <v>E0000245903</v>
      </c>
      <c r="E34" s="2" t="s">
        <v>168</v>
      </c>
      <c r="F34" s="2" t="s">
        <v>163</v>
      </c>
    </row>
    <row r="35" spans="1:6" x14ac:dyDescent="0.25">
      <c r="A35" s="2" t="s">
        <v>8</v>
      </c>
      <c r="B35" s="2" t="s">
        <v>9</v>
      </c>
      <c r="C35" s="4">
        <v>45904</v>
      </c>
      <c r="D35" s="4" t="str">
        <f t="shared" si="0"/>
        <v>E0000245904</v>
      </c>
      <c r="E35" s="2" t="s">
        <v>169</v>
      </c>
      <c r="F35" s="2" t="s">
        <v>162</v>
      </c>
    </row>
    <row r="36" spans="1:6" x14ac:dyDescent="0.25">
      <c r="A36" s="2" t="s">
        <v>8</v>
      </c>
      <c r="B36" s="2" t="s">
        <v>9</v>
      </c>
      <c r="C36" s="4">
        <v>45905</v>
      </c>
      <c r="D36" s="4" t="str">
        <f t="shared" si="0"/>
        <v>E0000245905</v>
      </c>
      <c r="E36" s="2" t="s">
        <v>170</v>
      </c>
      <c r="F36" s="2" t="s">
        <v>162</v>
      </c>
    </row>
    <row r="37" spans="1:6" x14ac:dyDescent="0.25">
      <c r="A37" s="2" t="s">
        <v>8</v>
      </c>
      <c r="B37" s="2" t="s">
        <v>9</v>
      </c>
      <c r="C37" s="4">
        <v>45906</v>
      </c>
      <c r="D37" s="4" t="str">
        <f t="shared" si="0"/>
        <v>E0000245906</v>
      </c>
      <c r="E37" s="2" t="s">
        <v>171</v>
      </c>
      <c r="F37" s="2" t="s">
        <v>162</v>
      </c>
    </row>
    <row r="38" spans="1:6" x14ac:dyDescent="0.25">
      <c r="A38" s="2" t="s">
        <v>8</v>
      </c>
      <c r="B38" s="2" t="s">
        <v>9</v>
      </c>
      <c r="C38" s="4">
        <v>45907</v>
      </c>
      <c r="D38" s="4" t="str">
        <f t="shared" si="0"/>
        <v>E0000245907</v>
      </c>
      <c r="E38" s="2" t="s">
        <v>172</v>
      </c>
      <c r="F38" s="2" t="s">
        <v>164</v>
      </c>
    </row>
    <row r="39" spans="1:6" x14ac:dyDescent="0.25">
      <c r="A39" s="2" t="s">
        <v>8</v>
      </c>
      <c r="B39" s="2" t="s">
        <v>9</v>
      </c>
      <c r="C39" s="4">
        <v>45908</v>
      </c>
      <c r="D39" s="4" t="str">
        <f t="shared" si="0"/>
        <v>E0000245908</v>
      </c>
      <c r="E39" s="2" t="s">
        <v>166</v>
      </c>
      <c r="F39" s="2" t="s">
        <v>162</v>
      </c>
    </row>
    <row r="40" spans="1:6" x14ac:dyDescent="0.25">
      <c r="A40" s="2" t="s">
        <v>8</v>
      </c>
      <c r="B40" s="2" t="s">
        <v>9</v>
      </c>
      <c r="C40" s="4">
        <v>45909</v>
      </c>
      <c r="D40" s="4" t="str">
        <f t="shared" si="0"/>
        <v>E0000245909</v>
      </c>
      <c r="E40" s="2" t="s">
        <v>167</v>
      </c>
      <c r="F40" s="2" t="s">
        <v>165</v>
      </c>
    </row>
    <row r="41" spans="1:6" x14ac:dyDescent="0.25">
      <c r="A41" s="2" t="s">
        <v>8</v>
      </c>
      <c r="B41" s="2" t="s">
        <v>9</v>
      </c>
      <c r="C41" s="4">
        <v>45910</v>
      </c>
      <c r="D41" s="4" t="str">
        <f t="shared" si="0"/>
        <v>E0000245910</v>
      </c>
      <c r="E41" s="2" t="s">
        <v>168</v>
      </c>
      <c r="F41" s="2" t="s">
        <v>162</v>
      </c>
    </row>
    <row r="42" spans="1:6" x14ac:dyDescent="0.25">
      <c r="A42" s="2" t="s">
        <v>8</v>
      </c>
      <c r="B42" s="2" t="s">
        <v>9</v>
      </c>
      <c r="C42" s="4">
        <v>45911</v>
      </c>
      <c r="D42" s="4" t="str">
        <f t="shared" si="0"/>
        <v>E0000245911</v>
      </c>
      <c r="E42" s="2" t="s">
        <v>169</v>
      </c>
      <c r="F42" s="2" t="s">
        <v>162</v>
      </c>
    </row>
    <row r="43" spans="1:6" x14ac:dyDescent="0.25">
      <c r="A43" s="2" t="s">
        <v>8</v>
      </c>
      <c r="B43" s="2" t="s">
        <v>9</v>
      </c>
      <c r="C43" s="4">
        <v>45912</v>
      </c>
      <c r="D43" s="4" t="str">
        <f t="shared" si="0"/>
        <v>E0000245912</v>
      </c>
      <c r="E43" s="2" t="s">
        <v>170</v>
      </c>
      <c r="F43" s="2" t="s">
        <v>163</v>
      </c>
    </row>
    <row r="44" spans="1:6" x14ac:dyDescent="0.25">
      <c r="A44" s="2" t="s">
        <v>8</v>
      </c>
      <c r="B44" s="2" t="s">
        <v>9</v>
      </c>
      <c r="C44" s="4">
        <v>45913</v>
      </c>
      <c r="D44" s="4" t="str">
        <f t="shared" si="0"/>
        <v>E0000245913</v>
      </c>
      <c r="E44" s="2" t="s">
        <v>171</v>
      </c>
      <c r="F44" s="2" t="s">
        <v>162</v>
      </c>
    </row>
    <row r="45" spans="1:6" x14ac:dyDescent="0.25">
      <c r="A45" s="2" t="s">
        <v>8</v>
      </c>
      <c r="B45" s="2" t="s">
        <v>9</v>
      </c>
      <c r="C45" s="4">
        <v>45914</v>
      </c>
      <c r="D45" s="4" t="str">
        <f t="shared" si="0"/>
        <v>E0000245914</v>
      </c>
      <c r="E45" s="2" t="s">
        <v>172</v>
      </c>
      <c r="F45" s="2" t="s">
        <v>164</v>
      </c>
    </row>
    <row r="46" spans="1:6" x14ac:dyDescent="0.25">
      <c r="A46" s="2" t="s">
        <v>8</v>
      </c>
      <c r="B46" s="2" t="s">
        <v>9</v>
      </c>
      <c r="C46" s="4">
        <v>45915</v>
      </c>
      <c r="D46" s="4" t="str">
        <f t="shared" si="0"/>
        <v>E0000245915</v>
      </c>
      <c r="E46" s="2" t="s">
        <v>166</v>
      </c>
      <c r="F46" s="2" t="s">
        <v>165</v>
      </c>
    </row>
    <row r="47" spans="1:6" x14ac:dyDescent="0.25">
      <c r="A47" s="2" t="s">
        <v>8</v>
      </c>
      <c r="B47" s="2" t="s">
        <v>9</v>
      </c>
      <c r="C47" s="4">
        <v>45916</v>
      </c>
      <c r="D47" s="4" t="str">
        <f t="shared" si="0"/>
        <v>E0000245916</v>
      </c>
      <c r="E47" s="2" t="s">
        <v>167</v>
      </c>
      <c r="F47" s="2" t="s">
        <v>162</v>
      </c>
    </row>
    <row r="48" spans="1:6" x14ac:dyDescent="0.25">
      <c r="A48" s="2" t="s">
        <v>8</v>
      </c>
      <c r="B48" s="2" t="s">
        <v>9</v>
      </c>
      <c r="C48" s="4">
        <v>45917</v>
      </c>
      <c r="D48" s="4" t="str">
        <f t="shared" si="0"/>
        <v>E0000245917</v>
      </c>
      <c r="E48" s="2" t="s">
        <v>168</v>
      </c>
      <c r="F48" s="2" t="s">
        <v>162</v>
      </c>
    </row>
    <row r="49" spans="1:6" x14ac:dyDescent="0.25">
      <c r="A49" s="2" t="s">
        <v>8</v>
      </c>
      <c r="B49" s="2" t="s">
        <v>9</v>
      </c>
      <c r="C49" s="4">
        <v>45918</v>
      </c>
      <c r="D49" s="4" t="str">
        <f t="shared" si="0"/>
        <v>E0000245918</v>
      </c>
      <c r="E49" s="2" t="s">
        <v>169</v>
      </c>
      <c r="F49" s="2" t="s">
        <v>162</v>
      </c>
    </row>
    <row r="50" spans="1:6" x14ac:dyDescent="0.25">
      <c r="A50" s="2" t="s">
        <v>8</v>
      </c>
      <c r="B50" s="2" t="s">
        <v>9</v>
      </c>
      <c r="C50" s="4">
        <v>45919</v>
      </c>
      <c r="D50" s="4" t="str">
        <f t="shared" si="0"/>
        <v>E0000245919</v>
      </c>
      <c r="E50" s="2" t="s">
        <v>170</v>
      </c>
      <c r="F50" s="2" t="s">
        <v>165</v>
      </c>
    </row>
    <row r="51" spans="1:6" x14ac:dyDescent="0.25">
      <c r="A51" s="2" t="s">
        <v>8</v>
      </c>
      <c r="B51" s="2" t="s">
        <v>9</v>
      </c>
      <c r="C51" s="4">
        <v>45920</v>
      </c>
      <c r="D51" s="4" t="str">
        <f t="shared" si="0"/>
        <v>E0000245920</v>
      </c>
      <c r="E51" s="2" t="s">
        <v>171</v>
      </c>
      <c r="F51" s="2" t="s">
        <v>165</v>
      </c>
    </row>
    <row r="52" spans="1:6" x14ac:dyDescent="0.25">
      <c r="A52" s="2" t="s">
        <v>8</v>
      </c>
      <c r="B52" s="2" t="s">
        <v>9</v>
      </c>
      <c r="C52" s="4">
        <v>45921</v>
      </c>
      <c r="D52" s="4" t="str">
        <f t="shared" si="0"/>
        <v>E0000245921</v>
      </c>
      <c r="E52" s="2" t="s">
        <v>172</v>
      </c>
      <c r="F52" s="2" t="s">
        <v>164</v>
      </c>
    </row>
    <row r="53" spans="1:6" x14ac:dyDescent="0.25">
      <c r="A53" s="2" t="s">
        <v>8</v>
      </c>
      <c r="B53" s="2" t="s">
        <v>9</v>
      </c>
      <c r="C53" s="4">
        <v>45922</v>
      </c>
      <c r="D53" s="4" t="str">
        <f t="shared" si="0"/>
        <v>E0000245922</v>
      </c>
      <c r="E53" s="2" t="s">
        <v>166</v>
      </c>
      <c r="F53" s="2" t="s">
        <v>165</v>
      </c>
    </row>
    <row r="54" spans="1:6" x14ac:dyDescent="0.25">
      <c r="A54" s="2" t="s">
        <v>8</v>
      </c>
      <c r="B54" s="2" t="s">
        <v>9</v>
      </c>
      <c r="C54" s="4">
        <v>45923</v>
      </c>
      <c r="D54" s="4" t="str">
        <f t="shared" si="0"/>
        <v>E0000245923</v>
      </c>
      <c r="E54" s="2" t="s">
        <v>167</v>
      </c>
      <c r="F54" s="2" t="s">
        <v>162</v>
      </c>
    </row>
    <row r="55" spans="1:6" x14ac:dyDescent="0.25">
      <c r="A55" s="2" t="s">
        <v>8</v>
      </c>
      <c r="B55" s="2" t="s">
        <v>9</v>
      </c>
      <c r="C55" s="4">
        <v>45924</v>
      </c>
      <c r="D55" s="4" t="str">
        <f t="shared" si="0"/>
        <v>E0000245924</v>
      </c>
      <c r="E55" s="2" t="s">
        <v>168</v>
      </c>
      <c r="F55" s="2" t="s">
        <v>162</v>
      </c>
    </row>
    <row r="56" spans="1:6" x14ac:dyDescent="0.25">
      <c r="A56" s="2" t="s">
        <v>8</v>
      </c>
      <c r="B56" s="2" t="s">
        <v>9</v>
      </c>
      <c r="C56" s="4">
        <v>45925</v>
      </c>
      <c r="D56" s="4" t="str">
        <f t="shared" si="0"/>
        <v>E0000245925</v>
      </c>
      <c r="E56" s="2" t="s">
        <v>169</v>
      </c>
      <c r="F56" s="2" t="s">
        <v>162</v>
      </c>
    </row>
    <row r="57" spans="1:6" x14ac:dyDescent="0.25">
      <c r="A57" s="2" t="s">
        <v>8</v>
      </c>
      <c r="B57" s="2" t="s">
        <v>9</v>
      </c>
      <c r="C57" s="4">
        <v>45926</v>
      </c>
      <c r="D57" s="4" t="str">
        <f t="shared" si="0"/>
        <v>E0000245926</v>
      </c>
      <c r="E57" s="2" t="s">
        <v>170</v>
      </c>
      <c r="F57" s="2" t="s">
        <v>162</v>
      </c>
    </row>
    <row r="58" spans="1:6" x14ac:dyDescent="0.25">
      <c r="A58" s="2" t="s">
        <v>8</v>
      </c>
      <c r="B58" s="2" t="s">
        <v>9</v>
      </c>
      <c r="C58" s="4">
        <v>45927</v>
      </c>
      <c r="D58" s="4" t="str">
        <f t="shared" si="0"/>
        <v>E0000245927</v>
      </c>
      <c r="E58" s="2" t="s">
        <v>171</v>
      </c>
      <c r="F58" s="2" t="s">
        <v>162</v>
      </c>
    </row>
    <row r="59" spans="1:6" x14ac:dyDescent="0.25">
      <c r="A59" s="2" t="s">
        <v>8</v>
      </c>
      <c r="B59" s="2" t="s">
        <v>9</v>
      </c>
      <c r="C59" s="4">
        <v>45928</v>
      </c>
      <c r="D59" s="4" t="str">
        <f t="shared" si="0"/>
        <v>E0000245928</v>
      </c>
      <c r="E59" s="2" t="s">
        <v>172</v>
      </c>
      <c r="F59" s="2" t="s">
        <v>164</v>
      </c>
    </row>
    <row r="60" spans="1:6" x14ac:dyDescent="0.25">
      <c r="A60" s="2" t="s">
        <v>8</v>
      </c>
      <c r="B60" s="2" t="s">
        <v>9</v>
      </c>
      <c r="C60" s="4">
        <v>45929</v>
      </c>
      <c r="D60" s="4" t="str">
        <f t="shared" si="0"/>
        <v>E0000245929</v>
      </c>
      <c r="E60" s="2" t="s">
        <v>166</v>
      </c>
      <c r="F60" s="2" t="s">
        <v>162</v>
      </c>
    </row>
    <row r="61" spans="1:6" x14ac:dyDescent="0.25">
      <c r="A61" s="2" t="s">
        <v>8</v>
      </c>
      <c r="B61" s="2" t="s">
        <v>9</v>
      </c>
      <c r="C61" s="4">
        <v>45930</v>
      </c>
      <c r="D61" s="4" t="str">
        <f t="shared" si="0"/>
        <v>E0000245930</v>
      </c>
      <c r="E61" s="2" t="s">
        <v>167</v>
      </c>
      <c r="F61" s="2" t="s">
        <v>162</v>
      </c>
    </row>
    <row r="62" spans="1:6" x14ac:dyDescent="0.25">
      <c r="A62" s="2" t="s">
        <v>12</v>
      </c>
      <c r="B62" s="2" t="s">
        <v>13</v>
      </c>
      <c r="C62" s="4">
        <v>45901</v>
      </c>
      <c r="D62" s="4" t="str">
        <f t="shared" si="0"/>
        <v>E0000345901</v>
      </c>
      <c r="E62" s="2" t="s">
        <v>166</v>
      </c>
      <c r="F62" s="2" t="s">
        <v>162</v>
      </c>
    </row>
    <row r="63" spans="1:6" x14ac:dyDescent="0.25">
      <c r="A63" s="2" t="s">
        <v>12</v>
      </c>
      <c r="B63" s="2" t="s">
        <v>13</v>
      </c>
      <c r="C63" s="4">
        <v>45902</v>
      </c>
      <c r="D63" s="4" t="str">
        <f t="shared" si="0"/>
        <v>E0000345902</v>
      </c>
      <c r="E63" s="2" t="s">
        <v>167</v>
      </c>
      <c r="F63" s="2" t="s">
        <v>162</v>
      </c>
    </row>
    <row r="64" spans="1:6" x14ac:dyDescent="0.25">
      <c r="A64" s="2" t="s">
        <v>12</v>
      </c>
      <c r="B64" s="2" t="s">
        <v>13</v>
      </c>
      <c r="C64" s="4">
        <v>45903</v>
      </c>
      <c r="D64" s="4" t="str">
        <f t="shared" si="0"/>
        <v>E0000345903</v>
      </c>
      <c r="E64" s="2" t="s">
        <v>168</v>
      </c>
      <c r="F64" s="2" t="s">
        <v>162</v>
      </c>
    </row>
    <row r="65" spans="1:6" x14ac:dyDescent="0.25">
      <c r="A65" s="2" t="s">
        <v>12</v>
      </c>
      <c r="B65" s="2" t="s">
        <v>13</v>
      </c>
      <c r="C65" s="4">
        <v>45904</v>
      </c>
      <c r="D65" s="4" t="str">
        <f t="shared" si="0"/>
        <v>E0000345904</v>
      </c>
      <c r="E65" s="2" t="s">
        <v>169</v>
      </c>
      <c r="F65" s="2" t="s">
        <v>165</v>
      </c>
    </row>
    <row r="66" spans="1:6" x14ac:dyDescent="0.25">
      <c r="A66" s="2" t="s">
        <v>12</v>
      </c>
      <c r="B66" s="2" t="s">
        <v>13</v>
      </c>
      <c r="C66" s="4">
        <v>45905</v>
      </c>
      <c r="D66" s="4" t="str">
        <f t="shared" si="0"/>
        <v>E0000345905</v>
      </c>
      <c r="E66" s="2" t="s">
        <v>170</v>
      </c>
      <c r="F66" s="2" t="s">
        <v>165</v>
      </c>
    </row>
    <row r="67" spans="1:6" x14ac:dyDescent="0.25">
      <c r="A67" s="2" t="s">
        <v>12</v>
      </c>
      <c r="B67" s="2" t="s">
        <v>13</v>
      </c>
      <c r="C67" s="4">
        <v>45906</v>
      </c>
      <c r="D67" s="4" t="str">
        <f t="shared" ref="D67:D130" si="1">A67&amp;C67</f>
        <v>E0000345906</v>
      </c>
      <c r="E67" s="2" t="s">
        <v>171</v>
      </c>
      <c r="F67" s="2" t="s">
        <v>162</v>
      </c>
    </row>
    <row r="68" spans="1:6" x14ac:dyDescent="0.25">
      <c r="A68" s="2" t="s">
        <v>12</v>
      </c>
      <c r="B68" s="2" t="s">
        <v>13</v>
      </c>
      <c r="C68" s="4">
        <v>45907</v>
      </c>
      <c r="D68" s="4" t="str">
        <f t="shared" si="1"/>
        <v>E0000345907</v>
      </c>
      <c r="E68" s="2" t="s">
        <v>172</v>
      </c>
      <c r="F68" s="2" t="s">
        <v>164</v>
      </c>
    </row>
    <row r="69" spans="1:6" x14ac:dyDescent="0.25">
      <c r="A69" s="2" t="s">
        <v>12</v>
      </c>
      <c r="B69" s="2" t="s">
        <v>13</v>
      </c>
      <c r="C69" s="4">
        <v>45908</v>
      </c>
      <c r="D69" s="4" t="str">
        <f t="shared" si="1"/>
        <v>E0000345908</v>
      </c>
      <c r="E69" s="2" t="s">
        <v>166</v>
      </c>
      <c r="F69" s="2" t="s">
        <v>162</v>
      </c>
    </row>
    <row r="70" spans="1:6" x14ac:dyDescent="0.25">
      <c r="A70" s="2" t="s">
        <v>12</v>
      </c>
      <c r="B70" s="2" t="s">
        <v>13</v>
      </c>
      <c r="C70" s="4">
        <v>45909</v>
      </c>
      <c r="D70" s="4" t="str">
        <f t="shared" si="1"/>
        <v>E0000345909</v>
      </c>
      <c r="E70" s="2" t="s">
        <v>167</v>
      </c>
      <c r="F70" s="2" t="s">
        <v>162</v>
      </c>
    </row>
    <row r="71" spans="1:6" x14ac:dyDescent="0.25">
      <c r="A71" s="2" t="s">
        <v>12</v>
      </c>
      <c r="B71" s="2" t="s">
        <v>13</v>
      </c>
      <c r="C71" s="4">
        <v>45910</v>
      </c>
      <c r="D71" s="4" t="str">
        <f t="shared" si="1"/>
        <v>E0000345910</v>
      </c>
      <c r="E71" s="2" t="s">
        <v>168</v>
      </c>
      <c r="F71" s="2" t="s">
        <v>165</v>
      </c>
    </row>
    <row r="72" spans="1:6" x14ac:dyDescent="0.25">
      <c r="A72" s="2" t="s">
        <v>12</v>
      </c>
      <c r="B72" s="2" t="s">
        <v>13</v>
      </c>
      <c r="C72" s="4">
        <v>45911</v>
      </c>
      <c r="D72" s="4" t="str">
        <f t="shared" si="1"/>
        <v>E0000345911</v>
      </c>
      <c r="E72" s="2" t="s">
        <v>169</v>
      </c>
      <c r="F72" s="2" t="s">
        <v>162</v>
      </c>
    </row>
    <row r="73" spans="1:6" x14ac:dyDescent="0.25">
      <c r="A73" s="2" t="s">
        <v>12</v>
      </c>
      <c r="B73" s="2" t="s">
        <v>13</v>
      </c>
      <c r="C73" s="4">
        <v>45912</v>
      </c>
      <c r="D73" s="4" t="str">
        <f t="shared" si="1"/>
        <v>E0000345912</v>
      </c>
      <c r="E73" s="2" t="s">
        <v>170</v>
      </c>
      <c r="F73" s="2" t="s">
        <v>162</v>
      </c>
    </row>
    <row r="74" spans="1:6" x14ac:dyDescent="0.25">
      <c r="A74" s="2" t="s">
        <v>12</v>
      </c>
      <c r="B74" s="2" t="s">
        <v>13</v>
      </c>
      <c r="C74" s="4">
        <v>45913</v>
      </c>
      <c r="D74" s="4" t="str">
        <f t="shared" si="1"/>
        <v>E0000345913</v>
      </c>
      <c r="E74" s="2" t="s">
        <v>171</v>
      </c>
      <c r="F74" s="2" t="s">
        <v>165</v>
      </c>
    </row>
    <row r="75" spans="1:6" x14ac:dyDescent="0.25">
      <c r="A75" s="2" t="s">
        <v>12</v>
      </c>
      <c r="B75" s="2" t="s">
        <v>13</v>
      </c>
      <c r="C75" s="4">
        <v>45914</v>
      </c>
      <c r="D75" s="4" t="str">
        <f t="shared" si="1"/>
        <v>E0000345914</v>
      </c>
      <c r="E75" s="2" t="s">
        <v>172</v>
      </c>
      <c r="F75" s="2" t="s">
        <v>164</v>
      </c>
    </row>
    <row r="76" spans="1:6" x14ac:dyDescent="0.25">
      <c r="A76" s="2" t="s">
        <v>12</v>
      </c>
      <c r="B76" s="2" t="s">
        <v>13</v>
      </c>
      <c r="C76" s="4">
        <v>45915</v>
      </c>
      <c r="D76" s="4" t="str">
        <f t="shared" si="1"/>
        <v>E0000345915</v>
      </c>
      <c r="E76" s="2" t="s">
        <v>166</v>
      </c>
      <c r="F76" s="2" t="s">
        <v>162</v>
      </c>
    </row>
    <row r="77" spans="1:6" x14ac:dyDescent="0.25">
      <c r="A77" s="2" t="s">
        <v>12</v>
      </c>
      <c r="B77" s="2" t="s">
        <v>13</v>
      </c>
      <c r="C77" s="4">
        <v>45916</v>
      </c>
      <c r="D77" s="4" t="str">
        <f t="shared" si="1"/>
        <v>E0000345916</v>
      </c>
      <c r="E77" s="2" t="s">
        <v>167</v>
      </c>
      <c r="F77" s="2" t="s">
        <v>163</v>
      </c>
    </row>
    <row r="78" spans="1:6" x14ac:dyDescent="0.25">
      <c r="A78" s="2" t="s">
        <v>12</v>
      </c>
      <c r="B78" s="2" t="s">
        <v>13</v>
      </c>
      <c r="C78" s="4">
        <v>45917</v>
      </c>
      <c r="D78" s="4" t="str">
        <f t="shared" si="1"/>
        <v>E0000345917</v>
      </c>
      <c r="E78" s="2" t="s">
        <v>168</v>
      </c>
      <c r="F78" s="2" t="s">
        <v>165</v>
      </c>
    </row>
    <row r="79" spans="1:6" x14ac:dyDescent="0.25">
      <c r="A79" s="2" t="s">
        <v>12</v>
      </c>
      <c r="B79" s="2" t="s">
        <v>13</v>
      </c>
      <c r="C79" s="4">
        <v>45918</v>
      </c>
      <c r="D79" s="4" t="str">
        <f t="shared" si="1"/>
        <v>E0000345918</v>
      </c>
      <c r="E79" s="2" t="s">
        <v>169</v>
      </c>
      <c r="F79" s="2" t="s">
        <v>162</v>
      </c>
    </row>
    <row r="80" spans="1:6" x14ac:dyDescent="0.25">
      <c r="A80" s="2" t="s">
        <v>12</v>
      </c>
      <c r="B80" s="2" t="s">
        <v>13</v>
      </c>
      <c r="C80" s="4">
        <v>45919</v>
      </c>
      <c r="D80" s="4" t="str">
        <f t="shared" si="1"/>
        <v>E0000345919</v>
      </c>
      <c r="E80" s="2" t="s">
        <v>170</v>
      </c>
      <c r="F80" s="2" t="s">
        <v>163</v>
      </c>
    </row>
    <row r="81" spans="1:6" x14ac:dyDescent="0.25">
      <c r="A81" s="2" t="s">
        <v>12</v>
      </c>
      <c r="B81" s="2" t="s">
        <v>13</v>
      </c>
      <c r="C81" s="4">
        <v>45920</v>
      </c>
      <c r="D81" s="4" t="str">
        <f t="shared" si="1"/>
        <v>E0000345920</v>
      </c>
      <c r="E81" s="2" t="s">
        <v>171</v>
      </c>
      <c r="F81" s="2" t="s">
        <v>162</v>
      </c>
    </row>
    <row r="82" spans="1:6" x14ac:dyDescent="0.25">
      <c r="A82" s="2" t="s">
        <v>12</v>
      </c>
      <c r="B82" s="2" t="s">
        <v>13</v>
      </c>
      <c r="C82" s="4">
        <v>45921</v>
      </c>
      <c r="D82" s="4" t="str">
        <f t="shared" si="1"/>
        <v>E0000345921</v>
      </c>
      <c r="E82" s="2" t="s">
        <v>172</v>
      </c>
      <c r="F82" s="2" t="s">
        <v>164</v>
      </c>
    </row>
    <row r="83" spans="1:6" x14ac:dyDescent="0.25">
      <c r="A83" s="2" t="s">
        <v>12</v>
      </c>
      <c r="B83" s="2" t="s">
        <v>13</v>
      </c>
      <c r="C83" s="4">
        <v>45922</v>
      </c>
      <c r="D83" s="4" t="str">
        <f t="shared" si="1"/>
        <v>E0000345922</v>
      </c>
      <c r="E83" s="2" t="s">
        <v>166</v>
      </c>
      <c r="F83" s="2" t="s">
        <v>163</v>
      </c>
    </row>
    <row r="84" spans="1:6" x14ac:dyDescent="0.25">
      <c r="A84" s="2" t="s">
        <v>12</v>
      </c>
      <c r="B84" s="2" t="s">
        <v>13</v>
      </c>
      <c r="C84" s="4">
        <v>45923</v>
      </c>
      <c r="D84" s="4" t="str">
        <f t="shared" si="1"/>
        <v>E0000345923</v>
      </c>
      <c r="E84" s="2" t="s">
        <v>167</v>
      </c>
      <c r="F84" s="2" t="s">
        <v>162</v>
      </c>
    </row>
    <row r="85" spans="1:6" x14ac:dyDescent="0.25">
      <c r="A85" s="2" t="s">
        <v>12</v>
      </c>
      <c r="B85" s="2" t="s">
        <v>13</v>
      </c>
      <c r="C85" s="4">
        <v>45924</v>
      </c>
      <c r="D85" s="4" t="str">
        <f t="shared" si="1"/>
        <v>E0000345924</v>
      </c>
      <c r="E85" s="2" t="s">
        <v>168</v>
      </c>
      <c r="F85" s="2" t="s">
        <v>163</v>
      </c>
    </row>
    <row r="86" spans="1:6" x14ac:dyDescent="0.25">
      <c r="A86" s="2" t="s">
        <v>12</v>
      </c>
      <c r="B86" s="2" t="s">
        <v>13</v>
      </c>
      <c r="C86" s="4">
        <v>45925</v>
      </c>
      <c r="D86" s="4" t="str">
        <f t="shared" si="1"/>
        <v>E0000345925</v>
      </c>
      <c r="E86" s="2" t="s">
        <v>169</v>
      </c>
      <c r="F86" s="2" t="s">
        <v>162</v>
      </c>
    </row>
    <row r="87" spans="1:6" x14ac:dyDescent="0.25">
      <c r="A87" s="2" t="s">
        <v>12</v>
      </c>
      <c r="B87" s="2" t="s">
        <v>13</v>
      </c>
      <c r="C87" s="4">
        <v>45926</v>
      </c>
      <c r="D87" s="4" t="str">
        <f t="shared" si="1"/>
        <v>E0000345926</v>
      </c>
      <c r="E87" s="2" t="s">
        <v>170</v>
      </c>
      <c r="F87" s="2" t="s">
        <v>162</v>
      </c>
    </row>
    <row r="88" spans="1:6" x14ac:dyDescent="0.25">
      <c r="A88" s="2" t="s">
        <v>12</v>
      </c>
      <c r="B88" s="2" t="s">
        <v>13</v>
      </c>
      <c r="C88" s="4">
        <v>45927</v>
      </c>
      <c r="D88" s="4" t="str">
        <f t="shared" si="1"/>
        <v>E0000345927</v>
      </c>
      <c r="E88" s="2" t="s">
        <v>171</v>
      </c>
      <c r="F88" s="2" t="s">
        <v>165</v>
      </c>
    </row>
    <row r="89" spans="1:6" x14ac:dyDescent="0.25">
      <c r="A89" s="2" t="s">
        <v>12</v>
      </c>
      <c r="B89" s="2" t="s">
        <v>13</v>
      </c>
      <c r="C89" s="4">
        <v>45928</v>
      </c>
      <c r="D89" s="4" t="str">
        <f t="shared" si="1"/>
        <v>E0000345928</v>
      </c>
      <c r="E89" s="2" t="s">
        <v>172</v>
      </c>
      <c r="F89" s="2" t="s">
        <v>164</v>
      </c>
    </row>
    <row r="90" spans="1:6" x14ac:dyDescent="0.25">
      <c r="A90" s="2" t="s">
        <v>12</v>
      </c>
      <c r="B90" s="2" t="s">
        <v>13</v>
      </c>
      <c r="C90" s="4">
        <v>45929</v>
      </c>
      <c r="D90" s="4" t="str">
        <f t="shared" si="1"/>
        <v>E0000345929</v>
      </c>
      <c r="E90" s="2" t="s">
        <v>166</v>
      </c>
      <c r="F90" s="2" t="s">
        <v>162</v>
      </c>
    </row>
    <row r="91" spans="1:6" x14ac:dyDescent="0.25">
      <c r="A91" s="2" t="s">
        <v>12</v>
      </c>
      <c r="B91" s="2" t="s">
        <v>13</v>
      </c>
      <c r="C91" s="4">
        <v>45930</v>
      </c>
      <c r="D91" s="4" t="str">
        <f t="shared" si="1"/>
        <v>E0000345930</v>
      </c>
      <c r="E91" s="2" t="s">
        <v>167</v>
      </c>
      <c r="F91" s="2" t="s">
        <v>162</v>
      </c>
    </row>
    <row r="92" spans="1:6" x14ac:dyDescent="0.25">
      <c r="A92" s="2" t="s">
        <v>16</v>
      </c>
      <c r="B92" s="2" t="s">
        <v>17</v>
      </c>
      <c r="C92" s="4">
        <v>45901</v>
      </c>
      <c r="D92" s="4" t="str">
        <f t="shared" si="1"/>
        <v>E0000445901</v>
      </c>
      <c r="E92" s="2" t="s">
        <v>166</v>
      </c>
      <c r="F92" s="2" t="s">
        <v>162</v>
      </c>
    </row>
    <row r="93" spans="1:6" x14ac:dyDescent="0.25">
      <c r="A93" s="2" t="s">
        <v>16</v>
      </c>
      <c r="B93" s="2" t="s">
        <v>17</v>
      </c>
      <c r="C93" s="4">
        <v>45902</v>
      </c>
      <c r="D93" s="4" t="str">
        <f t="shared" si="1"/>
        <v>E0000445902</v>
      </c>
      <c r="E93" s="2" t="s">
        <v>167</v>
      </c>
      <c r="F93" s="2" t="s">
        <v>165</v>
      </c>
    </row>
    <row r="94" spans="1:6" x14ac:dyDescent="0.25">
      <c r="A94" s="2" t="s">
        <v>16</v>
      </c>
      <c r="B94" s="2" t="s">
        <v>17</v>
      </c>
      <c r="C94" s="4">
        <v>45903</v>
      </c>
      <c r="D94" s="4" t="str">
        <f t="shared" si="1"/>
        <v>E0000445903</v>
      </c>
      <c r="E94" s="2" t="s">
        <v>168</v>
      </c>
      <c r="F94" s="2" t="s">
        <v>162</v>
      </c>
    </row>
    <row r="95" spans="1:6" x14ac:dyDescent="0.25">
      <c r="A95" s="2" t="s">
        <v>16</v>
      </c>
      <c r="B95" s="2" t="s">
        <v>17</v>
      </c>
      <c r="C95" s="4">
        <v>45904</v>
      </c>
      <c r="D95" s="4" t="str">
        <f t="shared" si="1"/>
        <v>E0000445904</v>
      </c>
      <c r="E95" s="2" t="s">
        <v>169</v>
      </c>
      <c r="F95" s="2" t="s">
        <v>162</v>
      </c>
    </row>
    <row r="96" spans="1:6" x14ac:dyDescent="0.25">
      <c r="A96" s="2" t="s">
        <v>16</v>
      </c>
      <c r="B96" s="2" t="s">
        <v>17</v>
      </c>
      <c r="C96" s="4">
        <v>45905</v>
      </c>
      <c r="D96" s="4" t="str">
        <f t="shared" si="1"/>
        <v>E0000445905</v>
      </c>
      <c r="E96" s="2" t="s">
        <v>170</v>
      </c>
      <c r="F96" s="2" t="s">
        <v>162</v>
      </c>
    </row>
    <row r="97" spans="1:6" x14ac:dyDescent="0.25">
      <c r="A97" s="2" t="s">
        <v>16</v>
      </c>
      <c r="B97" s="2" t="s">
        <v>17</v>
      </c>
      <c r="C97" s="4">
        <v>45906</v>
      </c>
      <c r="D97" s="4" t="str">
        <f t="shared" si="1"/>
        <v>E0000445906</v>
      </c>
      <c r="E97" s="2" t="s">
        <v>171</v>
      </c>
      <c r="F97" s="2" t="s">
        <v>163</v>
      </c>
    </row>
    <row r="98" spans="1:6" x14ac:dyDescent="0.25">
      <c r="A98" s="2" t="s">
        <v>16</v>
      </c>
      <c r="B98" s="2" t="s">
        <v>17</v>
      </c>
      <c r="C98" s="4">
        <v>45907</v>
      </c>
      <c r="D98" s="4" t="str">
        <f t="shared" si="1"/>
        <v>E0000445907</v>
      </c>
      <c r="E98" s="2" t="s">
        <v>172</v>
      </c>
      <c r="F98" s="2" t="s">
        <v>164</v>
      </c>
    </row>
    <row r="99" spans="1:6" x14ac:dyDescent="0.25">
      <c r="A99" s="2" t="s">
        <v>16</v>
      </c>
      <c r="B99" s="2" t="s">
        <v>17</v>
      </c>
      <c r="C99" s="4">
        <v>45908</v>
      </c>
      <c r="D99" s="4" t="str">
        <f t="shared" si="1"/>
        <v>E0000445908</v>
      </c>
      <c r="E99" s="2" t="s">
        <v>166</v>
      </c>
      <c r="F99" s="2" t="s">
        <v>162</v>
      </c>
    </row>
    <row r="100" spans="1:6" x14ac:dyDescent="0.25">
      <c r="A100" s="2" t="s">
        <v>16</v>
      </c>
      <c r="B100" s="2" t="s">
        <v>17</v>
      </c>
      <c r="C100" s="4">
        <v>45909</v>
      </c>
      <c r="D100" s="4" t="str">
        <f t="shared" si="1"/>
        <v>E0000445909</v>
      </c>
      <c r="E100" s="2" t="s">
        <v>167</v>
      </c>
      <c r="F100" s="2" t="s">
        <v>165</v>
      </c>
    </row>
    <row r="101" spans="1:6" x14ac:dyDescent="0.25">
      <c r="A101" s="2" t="s">
        <v>16</v>
      </c>
      <c r="B101" s="2" t="s">
        <v>17</v>
      </c>
      <c r="C101" s="4">
        <v>45910</v>
      </c>
      <c r="D101" s="4" t="str">
        <f t="shared" si="1"/>
        <v>E0000445910</v>
      </c>
      <c r="E101" s="2" t="s">
        <v>168</v>
      </c>
      <c r="F101" s="2" t="s">
        <v>162</v>
      </c>
    </row>
    <row r="102" spans="1:6" x14ac:dyDescent="0.25">
      <c r="A102" s="2" t="s">
        <v>16</v>
      </c>
      <c r="B102" s="2" t="s">
        <v>17</v>
      </c>
      <c r="C102" s="4">
        <v>45911</v>
      </c>
      <c r="D102" s="4" t="str">
        <f t="shared" si="1"/>
        <v>E0000445911</v>
      </c>
      <c r="E102" s="2" t="s">
        <v>169</v>
      </c>
      <c r="F102" s="2" t="s">
        <v>162</v>
      </c>
    </row>
    <row r="103" spans="1:6" x14ac:dyDescent="0.25">
      <c r="A103" s="2" t="s">
        <v>16</v>
      </c>
      <c r="B103" s="2" t="s">
        <v>17</v>
      </c>
      <c r="C103" s="4">
        <v>45912</v>
      </c>
      <c r="D103" s="4" t="str">
        <f t="shared" si="1"/>
        <v>E0000445912</v>
      </c>
      <c r="E103" s="2" t="s">
        <v>170</v>
      </c>
      <c r="F103" s="2" t="s">
        <v>162</v>
      </c>
    </row>
    <row r="104" spans="1:6" x14ac:dyDescent="0.25">
      <c r="A104" s="2" t="s">
        <v>16</v>
      </c>
      <c r="B104" s="2" t="s">
        <v>17</v>
      </c>
      <c r="C104" s="4">
        <v>45913</v>
      </c>
      <c r="D104" s="4" t="str">
        <f t="shared" si="1"/>
        <v>E0000445913</v>
      </c>
      <c r="E104" s="2" t="s">
        <v>171</v>
      </c>
      <c r="F104" s="2" t="s">
        <v>162</v>
      </c>
    </row>
    <row r="105" spans="1:6" x14ac:dyDescent="0.25">
      <c r="A105" s="2" t="s">
        <v>16</v>
      </c>
      <c r="B105" s="2" t="s">
        <v>17</v>
      </c>
      <c r="C105" s="4">
        <v>45914</v>
      </c>
      <c r="D105" s="4" t="str">
        <f t="shared" si="1"/>
        <v>E0000445914</v>
      </c>
      <c r="E105" s="2" t="s">
        <v>172</v>
      </c>
      <c r="F105" s="2" t="s">
        <v>164</v>
      </c>
    </row>
    <row r="106" spans="1:6" x14ac:dyDescent="0.25">
      <c r="A106" s="2" t="s">
        <v>16</v>
      </c>
      <c r="B106" s="2" t="s">
        <v>17</v>
      </c>
      <c r="C106" s="4">
        <v>45915</v>
      </c>
      <c r="D106" s="4" t="str">
        <f t="shared" si="1"/>
        <v>E0000445915</v>
      </c>
      <c r="E106" s="2" t="s">
        <v>166</v>
      </c>
      <c r="F106" s="2" t="s">
        <v>162</v>
      </c>
    </row>
    <row r="107" spans="1:6" x14ac:dyDescent="0.25">
      <c r="A107" s="2" t="s">
        <v>16</v>
      </c>
      <c r="B107" s="2" t="s">
        <v>17</v>
      </c>
      <c r="C107" s="4">
        <v>45916</v>
      </c>
      <c r="D107" s="4" t="str">
        <f t="shared" si="1"/>
        <v>E0000445916</v>
      </c>
      <c r="E107" s="2" t="s">
        <v>167</v>
      </c>
      <c r="F107" s="2" t="s">
        <v>163</v>
      </c>
    </row>
    <row r="108" spans="1:6" x14ac:dyDescent="0.25">
      <c r="A108" s="2" t="s">
        <v>16</v>
      </c>
      <c r="B108" s="2" t="s">
        <v>17</v>
      </c>
      <c r="C108" s="4">
        <v>45917</v>
      </c>
      <c r="D108" s="4" t="str">
        <f t="shared" si="1"/>
        <v>E0000445917</v>
      </c>
      <c r="E108" s="2" t="s">
        <v>168</v>
      </c>
      <c r="F108" s="2" t="s">
        <v>162</v>
      </c>
    </row>
    <row r="109" spans="1:6" x14ac:dyDescent="0.25">
      <c r="A109" s="2" t="s">
        <v>16</v>
      </c>
      <c r="B109" s="2" t="s">
        <v>17</v>
      </c>
      <c r="C109" s="4">
        <v>45918</v>
      </c>
      <c r="D109" s="4" t="str">
        <f t="shared" si="1"/>
        <v>E0000445918</v>
      </c>
      <c r="E109" s="2" t="s">
        <v>169</v>
      </c>
      <c r="F109" s="2" t="s">
        <v>162</v>
      </c>
    </row>
    <row r="110" spans="1:6" x14ac:dyDescent="0.25">
      <c r="A110" s="2" t="s">
        <v>16</v>
      </c>
      <c r="B110" s="2" t="s">
        <v>17</v>
      </c>
      <c r="C110" s="4">
        <v>45919</v>
      </c>
      <c r="D110" s="4" t="str">
        <f t="shared" si="1"/>
        <v>E0000445919</v>
      </c>
      <c r="E110" s="2" t="s">
        <v>170</v>
      </c>
      <c r="F110" s="2" t="s">
        <v>165</v>
      </c>
    </row>
    <row r="111" spans="1:6" x14ac:dyDescent="0.25">
      <c r="A111" s="2" t="s">
        <v>16</v>
      </c>
      <c r="B111" s="2" t="s">
        <v>17</v>
      </c>
      <c r="C111" s="4">
        <v>45920</v>
      </c>
      <c r="D111" s="4" t="str">
        <f t="shared" si="1"/>
        <v>E0000445920</v>
      </c>
      <c r="E111" s="2" t="s">
        <v>171</v>
      </c>
      <c r="F111" s="2" t="s">
        <v>163</v>
      </c>
    </row>
    <row r="112" spans="1:6" x14ac:dyDescent="0.25">
      <c r="A112" s="2" t="s">
        <v>16</v>
      </c>
      <c r="B112" s="2" t="s">
        <v>17</v>
      </c>
      <c r="C112" s="4">
        <v>45921</v>
      </c>
      <c r="D112" s="4" t="str">
        <f t="shared" si="1"/>
        <v>E0000445921</v>
      </c>
      <c r="E112" s="2" t="s">
        <v>172</v>
      </c>
      <c r="F112" s="2" t="s">
        <v>164</v>
      </c>
    </row>
    <row r="113" spans="1:6" x14ac:dyDescent="0.25">
      <c r="A113" s="2" t="s">
        <v>16</v>
      </c>
      <c r="B113" s="2" t="s">
        <v>17</v>
      </c>
      <c r="C113" s="4">
        <v>45922</v>
      </c>
      <c r="D113" s="4" t="str">
        <f t="shared" si="1"/>
        <v>E0000445922</v>
      </c>
      <c r="E113" s="2" t="s">
        <v>166</v>
      </c>
      <c r="F113" s="2" t="s">
        <v>162</v>
      </c>
    </row>
    <row r="114" spans="1:6" x14ac:dyDescent="0.25">
      <c r="A114" s="2" t="s">
        <v>16</v>
      </c>
      <c r="B114" s="2" t="s">
        <v>17</v>
      </c>
      <c r="C114" s="4">
        <v>45923</v>
      </c>
      <c r="D114" s="4" t="str">
        <f t="shared" si="1"/>
        <v>E0000445923</v>
      </c>
      <c r="E114" s="2" t="s">
        <v>167</v>
      </c>
      <c r="F114" s="2" t="s">
        <v>165</v>
      </c>
    </row>
    <row r="115" spans="1:6" x14ac:dyDescent="0.25">
      <c r="A115" s="2" t="s">
        <v>16</v>
      </c>
      <c r="B115" s="2" t="s">
        <v>17</v>
      </c>
      <c r="C115" s="4">
        <v>45924</v>
      </c>
      <c r="D115" s="4" t="str">
        <f t="shared" si="1"/>
        <v>E0000445924</v>
      </c>
      <c r="E115" s="2" t="s">
        <v>168</v>
      </c>
      <c r="F115" s="2" t="s">
        <v>162</v>
      </c>
    </row>
    <row r="116" spans="1:6" x14ac:dyDescent="0.25">
      <c r="A116" s="2" t="s">
        <v>16</v>
      </c>
      <c r="B116" s="2" t="s">
        <v>17</v>
      </c>
      <c r="C116" s="4">
        <v>45925</v>
      </c>
      <c r="D116" s="4" t="str">
        <f t="shared" si="1"/>
        <v>E0000445925</v>
      </c>
      <c r="E116" s="2" t="s">
        <v>169</v>
      </c>
      <c r="F116" s="2" t="s">
        <v>162</v>
      </c>
    </row>
    <row r="117" spans="1:6" x14ac:dyDescent="0.25">
      <c r="A117" s="2" t="s">
        <v>16</v>
      </c>
      <c r="B117" s="2" t="s">
        <v>17</v>
      </c>
      <c r="C117" s="4">
        <v>45926</v>
      </c>
      <c r="D117" s="4" t="str">
        <f t="shared" si="1"/>
        <v>E0000445926</v>
      </c>
      <c r="E117" s="2" t="s">
        <v>170</v>
      </c>
      <c r="F117" s="2" t="s">
        <v>162</v>
      </c>
    </row>
    <row r="118" spans="1:6" x14ac:dyDescent="0.25">
      <c r="A118" s="2" t="s">
        <v>16</v>
      </c>
      <c r="B118" s="2" t="s">
        <v>17</v>
      </c>
      <c r="C118" s="4">
        <v>45927</v>
      </c>
      <c r="D118" s="4" t="str">
        <f t="shared" si="1"/>
        <v>E0000445927</v>
      </c>
      <c r="E118" s="2" t="s">
        <v>171</v>
      </c>
      <c r="F118" s="2" t="s">
        <v>162</v>
      </c>
    </row>
    <row r="119" spans="1:6" x14ac:dyDescent="0.25">
      <c r="A119" s="2" t="s">
        <v>16</v>
      </c>
      <c r="B119" s="2" t="s">
        <v>17</v>
      </c>
      <c r="C119" s="4">
        <v>45928</v>
      </c>
      <c r="D119" s="4" t="str">
        <f t="shared" si="1"/>
        <v>E0000445928</v>
      </c>
      <c r="E119" s="2" t="s">
        <v>172</v>
      </c>
      <c r="F119" s="2" t="s">
        <v>164</v>
      </c>
    </row>
    <row r="120" spans="1:6" x14ac:dyDescent="0.25">
      <c r="A120" s="2" t="s">
        <v>16</v>
      </c>
      <c r="B120" s="2" t="s">
        <v>17</v>
      </c>
      <c r="C120" s="4">
        <v>45929</v>
      </c>
      <c r="D120" s="4" t="str">
        <f t="shared" si="1"/>
        <v>E0000445929</v>
      </c>
      <c r="E120" s="2" t="s">
        <v>166</v>
      </c>
      <c r="F120" s="2" t="s">
        <v>162</v>
      </c>
    </row>
    <row r="121" spans="1:6" x14ac:dyDescent="0.25">
      <c r="A121" s="2" t="s">
        <v>16</v>
      </c>
      <c r="B121" s="2" t="s">
        <v>17</v>
      </c>
      <c r="C121" s="4">
        <v>45930</v>
      </c>
      <c r="D121" s="4" t="str">
        <f t="shared" si="1"/>
        <v>E0000445930</v>
      </c>
      <c r="E121" s="2" t="s">
        <v>167</v>
      </c>
      <c r="F121" s="2" t="s">
        <v>165</v>
      </c>
    </row>
    <row r="122" spans="1:6" x14ac:dyDescent="0.25">
      <c r="A122" s="2" t="s">
        <v>18</v>
      </c>
      <c r="B122" s="2" t="s">
        <v>19</v>
      </c>
      <c r="C122" s="4">
        <v>45901</v>
      </c>
      <c r="D122" s="4" t="str">
        <f t="shared" si="1"/>
        <v>E0000545901</v>
      </c>
      <c r="E122" s="2" t="s">
        <v>166</v>
      </c>
      <c r="F122" s="2" t="s">
        <v>165</v>
      </c>
    </row>
    <row r="123" spans="1:6" x14ac:dyDescent="0.25">
      <c r="A123" s="2" t="s">
        <v>18</v>
      </c>
      <c r="B123" s="2" t="s">
        <v>19</v>
      </c>
      <c r="C123" s="4">
        <v>45902</v>
      </c>
      <c r="D123" s="4" t="str">
        <f t="shared" si="1"/>
        <v>E0000545902</v>
      </c>
      <c r="E123" s="2" t="s">
        <v>167</v>
      </c>
      <c r="F123" s="2" t="s">
        <v>162</v>
      </c>
    </row>
    <row r="124" spans="1:6" x14ac:dyDescent="0.25">
      <c r="A124" s="2" t="s">
        <v>18</v>
      </c>
      <c r="B124" s="2" t="s">
        <v>19</v>
      </c>
      <c r="C124" s="4">
        <v>45903</v>
      </c>
      <c r="D124" s="4" t="str">
        <f t="shared" si="1"/>
        <v>E0000545903</v>
      </c>
      <c r="E124" s="2" t="s">
        <v>168</v>
      </c>
      <c r="F124" s="2" t="s">
        <v>162</v>
      </c>
    </row>
    <row r="125" spans="1:6" x14ac:dyDescent="0.25">
      <c r="A125" s="2" t="s">
        <v>18</v>
      </c>
      <c r="B125" s="2" t="s">
        <v>19</v>
      </c>
      <c r="C125" s="4">
        <v>45904</v>
      </c>
      <c r="D125" s="4" t="str">
        <f t="shared" si="1"/>
        <v>E0000545904</v>
      </c>
      <c r="E125" s="2" t="s">
        <v>169</v>
      </c>
      <c r="F125" s="2" t="s">
        <v>162</v>
      </c>
    </row>
    <row r="126" spans="1:6" x14ac:dyDescent="0.25">
      <c r="A126" s="2" t="s">
        <v>18</v>
      </c>
      <c r="B126" s="2" t="s">
        <v>19</v>
      </c>
      <c r="C126" s="4">
        <v>45905</v>
      </c>
      <c r="D126" s="4" t="str">
        <f t="shared" si="1"/>
        <v>E0000545905</v>
      </c>
      <c r="E126" s="2" t="s">
        <v>170</v>
      </c>
      <c r="F126" s="2" t="s">
        <v>163</v>
      </c>
    </row>
    <row r="127" spans="1:6" x14ac:dyDescent="0.25">
      <c r="A127" s="2" t="s">
        <v>18</v>
      </c>
      <c r="B127" s="2" t="s">
        <v>19</v>
      </c>
      <c r="C127" s="4">
        <v>45906</v>
      </c>
      <c r="D127" s="4" t="str">
        <f t="shared" si="1"/>
        <v>E0000545906</v>
      </c>
      <c r="E127" s="2" t="s">
        <v>171</v>
      </c>
      <c r="F127" s="2" t="s">
        <v>162</v>
      </c>
    </row>
    <row r="128" spans="1:6" x14ac:dyDescent="0.25">
      <c r="A128" s="2" t="s">
        <v>18</v>
      </c>
      <c r="B128" s="2" t="s">
        <v>19</v>
      </c>
      <c r="C128" s="4">
        <v>45907</v>
      </c>
      <c r="D128" s="4" t="str">
        <f t="shared" si="1"/>
        <v>E0000545907</v>
      </c>
      <c r="E128" s="2" t="s">
        <v>172</v>
      </c>
      <c r="F128" s="2" t="s">
        <v>164</v>
      </c>
    </row>
    <row r="129" spans="1:6" x14ac:dyDescent="0.25">
      <c r="A129" s="2" t="s">
        <v>18</v>
      </c>
      <c r="B129" s="2" t="s">
        <v>19</v>
      </c>
      <c r="C129" s="4">
        <v>45908</v>
      </c>
      <c r="D129" s="4" t="str">
        <f t="shared" si="1"/>
        <v>E0000545908</v>
      </c>
      <c r="E129" s="2" t="s">
        <v>166</v>
      </c>
      <c r="F129" s="2" t="s">
        <v>162</v>
      </c>
    </row>
    <row r="130" spans="1:6" x14ac:dyDescent="0.25">
      <c r="A130" s="2" t="s">
        <v>18</v>
      </c>
      <c r="B130" s="2" t="s">
        <v>19</v>
      </c>
      <c r="C130" s="4">
        <v>45909</v>
      </c>
      <c r="D130" s="4" t="str">
        <f t="shared" si="1"/>
        <v>E0000545909</v>
      </c>
      <c r="E130" s="2" t="s">
        <v>167</v>
      </c>
      <c r="F130" s="2" t="s">
        <v>162</v>
      </c>
    </row>
    <row r="131" spans="1:6" x14ac:dyDescent="0.25">
      <c r="A131" s="2" t="s">
        <v>18</v>
      </c>
      <c r="B131" s="2" t="s">
        <v>19</v>
      </c>
      <c r="C131" s="4">
        <v>45910</v>
      </c>
      <c r="D131" s="4" t="str">
        <f t="shared" ref="D131:D194" si="2">A131&amp;C131</f>
        <v>E0000545910</v>
      </c>
      <c r="E131" s="2" t="s">
        <v>168</v>
      </c>
      <c r="F131" s="2" t="s">
        <v>162</v>
      </c>
    </row>
    <row r="132" spans="1:6" x14ac:dyDescent="0.25">
      <c r="A132" s="2" t="s">
        <v>18</v>
      </c>
      <c r="B132" s="2" t="s">
        <v>19</v>
      </c>
      <c r="C132" s="4">
        <v>45911</v>
      </c>
      <c r="D132" s="4" t="str">
        <f t="shared" si="2"/>
        <v>E0000545911</v>
      </c>
      <c r="E132" s="2" t="s">
        <v>169</v>
      </c>
      <c r="F132" s="2" t="s">
        <v>162</v>
      </c>
    </row>
    <row r="133" spans="1:6" x14ac:dyDescent="0.25">
      <c r="A133" s="2" t="s">
        <v>18</v>
      </c>
      <c r="B133" s="2" t="s">
        <v>19</v>
      </c>
      <c r="C133" s="4">
        <v>45912</v>
      </c>
      <c r="D133" s="4" t="str">
        <f t="shared" si="2"/>
        <v>E0000545912</v>
      </c>
      <c r="E133" s="2" t="s">
        <v>170</v>
      </c>
      <c r="F133" s="2" t="s">
        <v>162</v>
      </c>
    </row>
    <row r="134" spans="1:6" x14ac:dyDescent="0.25">
      <c r="A134" s="2" t="s">
        <v>18</v>
      </c>
      <c r="B134" s="2" t="s">
        <v>19</v>
      </c>
      <c r="C134" s="4">
        <v>45913</v>
      </c>
      <c r="D134" s="4" t="str">
        <f t="shared" si="2"/>
        <v>E0000545913</v>
      </c>
      <c r="E134" s="2" t="s">
        <v>171</v>
      </c>
      <c r="F134" s="2" t="s">
        <v>162</v>
      </c>
    </row>
    <row r="135" spans="1:6" x14ac:dyDescent="0.25">
      <c r="A135" s="2" t="s">
        <v>18</v>
      </c>
      <c r="B135" s="2" t="s">
        <v>19</v>
      </c>
      <c r="C135" s="4">
        <v>45914</v>
      </c>
      <c r="D135" s="4" t="str">
        <f t="shared" si="2"/>
        <v>E0000545914</v>
      </c>
      <c r="E135" s="2" t="s">
        <v>172</v>
      </c>
      <c r="F135" s="2" t="s">
        <v>164</v>
      </c>
    </row>
    <row r="136" spans="1:6" x14ac:dyDescent="0.25">
      <c r="A136" s="2" t="s">
        <v>18</v>
      </c>
      <c r="B136" s="2" t="s">
        <v>19</v>
      </c>
      <c r="C136" s="4">
        <v>45915</v>
      </c>
      <c r="D136" s="4" t="str">
        <f t="shared" si="2"/>
        <v>E0000545915</v>
      </c>
      <c r="E136" s="2" t="s">
        <v>166</v>
      </c>
      <c r="F136" s="2" t="s">
        <v>165</v>
      </c>
    </row>
    <row r="137" spans="1:6" x14ac:dyDescent="0.25">
      <c r="A137" s="2" t="s">
        <v>18</v>
      </c>
      <c r="B137" s="2" t="s">
        <v>19</v>
      </c>
      <c r="C137" s="4">
        <v>45916</v>
      </c>
      <c r="D137" s="4" t="str">
        <f t="shared" si="2"/>
        <v>E0000545916</v>
      </c>
      <c r="E137" s="2" t="s">
        <v>167</v>
      </c>
      <c r="F137" s="2" t="s">
        <v>162</v>
      </c>
    </row>
    <row r="138" spans="1:6" x14ac:dyDescent="0.25">
      <c r="A138" s="2" t="s">
        <v>18</v>
      </c>
      <c r="B138" s="2" t="s">
        <v>19</v>
      </c>
      <c r="C138" s="4">
        <v>45917</v>
      </c>
      <c r="D138" s="4" t="str">
        <f t="shared" si="2"/>
        <v>E0000545917</v>
      </c>
      <c r="E138" s="2" t="s">
        <v>168</v>
      </c>
      <c r="F138" s="2" t="s">
        <v>165</v>
      </c>
    </row>
    <row r="139" spans="1:6" x14ac:dyDescent="0.25">
      <c r="A139" s="2" t="s">
        <v>18</v>
      </c>
      <c r="B139" s="2" t="s">
        <v>19</v>
      </c>
      <c r="C139" s="4">
        <v>45918</v>
      </c>
      <c r="D139" s="4" t="str">
        <f t="shared" si="2"/>
        <v>E0000545918</v>
      </c>
      <c r="E139" s="2" t="s">
        <v>169</v>
      </c>
      <c r="F139" s="2" t="s">
        <v>162</v>
      </c>
    </row>
    <row r="140" spans="1:6" x14ac:dyDescent="0.25">
      <c r="A140" s="2" t="s">
        <v>18</v>
      </c>
      <c r="B140" s="2" t="s">
        <v>19</v>
      </c>
      <c r="C140" s="4">
        <v>45919</v>
      </c>
      <c r="D140" s="4" t="str">
        <f t="shared" si="2"/>
        <v>E0000545919</v>
      </c>
      <c r="E140" s="2" t="s">
        <v>170</v>
      </c>
      <c r="F140" s="2" t="s">
        <v>162</v>
      </c>
    </row>
    <row r="141" spans="1:6" x14ac:dyDescent="0.25">
      <c r="A141" s="2" t="s">
        <v>18</v>
      </c>
      <c r="B141" s="2" t="s">
        <v>19</v>
      </c>
      <c r="C141" s="4">
        <v>45920</v>
      </c>
      <c r="D141" s="4" t="str">
        <f t="shared" si="2"/>
        <v>E0000545920</v>
      </c>
      <c r="E141" s="2" t="s">
        <v>171</v>
      </c>
      <c r="F141" s="2" t="s">
        <v>162</v>
      </c>
    </row>
    <row r="142" spans="1:6" x14ac:dyDescent="0.25">
      <c r="A142" s="2" t="s">
        <v>18</v>
      </c>
      <c r="B142" s="2" t="s">
        <v>19</v>
      </c>
      <c r="C142" s="4">
        <v>45921</v>
      </c>
      <c r="D142" s="4" t="str">
        <f t="shared" si="2"/>
        <v>E0000545921</v>
      </c>
      <c r="E142" s="2" t="s">
        <v>172</v>
      </c>
      <c r="F142" s="2" t="s">
        <v>164</v>
      </c>
    </row>
    <row r="143" spans="1:6" x14ac:dyDescent="0.25">
      <c r="A143" s="2" t="s">
        <v>18</v>
      </c>
      <c r="B143" s="2" t="s">
        <v>19</v>
      </c>
      <c r="C143" s="4">
        <v>45922</v>
      </c>
      <c r="D143" s="4" t="str">
        <f t="shared" si="2"/>
        <v>E0000545922</v>
      </c>
      <c r="E143" s="2" t="s">
        <v>166</v>
      </c>
      <c r="F143" s="2" t="s">
        <v>165</v>
      </c>
    </row>
    <row r="144" spans="1:6" x14ac:dyDescent="0.25">
      <c r="A144" s="2" t="s">
        <v>18</v>
      </c>
      <c r="B144" s="2" t="s">
        <v>19</v>
      </c>
      <c r="C144" s="4">
        <v>45923</v>
      </c>
      <c r="D144" s="4" t="str">
        <f t="shared" si="2"/>
        <v>E0000545923</v>
      </c>
      <c r="E144" s="2" t="s">
        <v>167</v>
      </c>
      <c r="F144" s="2" t="s">
        <v>162</v>
      </c>
    </row>
    <row r="145" spans="1:6" x14ac:dyDescent="0.25">
      <c r="A145" s="2" t="s">
        <v>18</v>
      </c>
      <c r="B145" s="2" t="s">
        <v>19</v>
      </c>
      <c r="C145" s="4">
        <v>45924</v>
      </c>
      <c r="D145" s="4" t="str">
        <f t="shared" si="2"/>
        <v>E0000545924</v>
      </c>
      <c r="E145" s="2" t="s">
        <v>168</v>
      </c>
      <c r="F145" s="2" t="s">
        <v>162</v>
      </c>
    </row>
    <row r="146" spans="1:6" x14ac:dyDescent="0.25">
      <c r="A146" s="2" t="s">
        <v>18</v>
      </c>
      <c r="B146" s="2" t="s">
        <v>19</v>
      </c>
      <c r="C146" s="4">
        <v>45925</v>
      </c>
      <c r="D146" s="4" t="str">
        <f t="shared" si="2"/>
        <v>E0000545925</v>
      </c>
      <c r="E146" s="2" t="s">
        <v>169</v>
      </c>
      <c r="F146" s="2" t="s">
        <v>162</v>
      </c>
    </row>
    <row r="147" spans="1:6" x14ac:dyDescent="0.25">
      <c r="A147" s="2" t="s">
        <v>18</v>
      </c>
      <c r="B147" s="2" t="s">
        <v>19</v>
      </c>
      <c r="C147" s="4">
        <v>45926</v>
      </c>
      <c r="D147" s="4" t="str">
        <f t="shared" si="2"/>
        <v>E0000545926</v>
      </c>
      <c r="E147" s="2" t="s">
        <v>170</v>
      </c>
      <c r="F147" s="2" t="s">
        <v>162</v>
      </c>
    </row>
    <row r="148" spans="1:6" x14ac:dyDescent="0.25">
      <c r="A148" s="2" t="s">
        <v>18</v>
      </c>
      <c r="B148" s="2" t="s">
        <v>19</v>
      </c>
      <c r="C148" s="4">
        <v>45927</v>
      </c>
      <c r="D148" s="4" t="str">
        <f t="shared" si="2"/>
        <v>E0000545927</v>
      </c>
      <c r="E148" s="2" t="s">
        <v>171</v>
      </c>
      <c r="F148" s="2" t="s">
        <v>165</v>
      </c>
    </row>
    <row r="149" spans="1:6" x14ac:dyDescent="0.25">
      <c r="A149" s="2" t="s">
        <v>18</v>
      </c>
      <c r="B149" s="2" t="s">
        <v>19</v>
      </c>
      <c r="C149" s="4">
        <v>45928</v>
      </c>
      <c r="D149" s="4" t="str">
        <f t="shared" si="2"/>
        <v>E0000545928</v>
      </c>
      <c r="E149" s="2" t="s">
        <v>172</v>
      </c>
      <c r="F149" s="2" t="s">
        <v>164</v>
      </c>
    </row>
    <row r="150" spans="1:6" x14ac:dyDescent="0.25">
      <c r="A150" s="2" t="s">
        <v>18</v>
      </c>
      <c r="B150" s="2" t="s">
        <v>19</v>
      </c>
      <c r="C150" s="4">
        <v>45929</v>
      </c>
      <c r="D150" s="4" t="str">
        <f t="shared" si="2"/>
        <v>E0000545929</v>
      </c>
      <c r="E150" s="2" t="s">
        <v>166</v>
      </c>
      <c r="F150" s="2" t="s">
        <v>163</v>
      </c>
    </row>
    <row r="151" spans="1:6" x14ac:dyDescent="0.25">
      <c r="A151" s="2" t="s">
        <v>18</v>
      </c>
      <c r="B151" s="2" t="s">
        <v>19</v>
      </c>
      <c r="C151" s="4">
        <v>45930</v>
      </c>
      <c r="D151" s="4" t="str">
        <f t="shared" si="2"/>
        <v>E0000545930</v>
      </c>
      <c r="E151" s="2" t="s">
        <v>167</v>
      </c>
      <c r="F151" s="2" t="s">
        <v>162</v>
      </c>
    </row>
    <row r="152" spans="1:6" x14ac:dyDescent="0.25">
      <c r="A152" s="2" t="s">
        <v>21</v>
      </c>
      <c r="B152" s="2" t="s">
        <v>22</v>
      </c>
      <c r="C152" s="4">
        <v>45901</v>
      </c>
      <c r="D152" s="4" t="str">
        <f t="shared" si="2"/>
        <v>E0000645901</v>
      </c>
      <c r="E152" s="2" t="s">
        <v>166</v>
      </c>
      <c r="F152" s="2" t="s">
        <v>162</v>
      </c>
    </row>
    <row r="153" spans="1:6" x14ac:dyDescent="0.25">
      <c r="A153" s="2" t="s">
        <v>21</v>
      </c>
      <c r="B153" s="2" t="s">
        <v>22</v>
      </c>
      <c r="C153" s="4">
        <v>45902</v>
      </c>
      <c r="D153" s="4" t="str">
        <f t="shared" si="2"/>
        <v>E0000645902</v>
      </c>
      <c r="E153" s="2" t="s">
        <v>167</v>
      </c>
      <c r="F153" s="2" t="s">
        <v>165</v>
      </c>
    </row>
    <row r="154" spans="1:6" x14ac:dyDescent="0.25">
      <c r="A154" s="2" t="s">
        <v>21</v>
      </c>
      <c r="B154" s="2" t="s">
        <v>22</v>
      </c>
      <c r="C154" s="4">
        <v>45903</v>
      </c>
      <c r="D154" s="4" t="str">
        <f t="shared" si="2"/>
        <v>E0000645903</v>
      </c>
      <c r="E154" s="2" t="s">
        <v>168</v>
      </c>
      <c r="F154" s="2" t="s">
        <v>162</v>
      </c>
    </row>
    <row r="155" spans="1:6" x14ac:dyDescent="0.25">
      <c r="A155" s="2" t="s">
        <v>21</v>
      </c>
      <c r="B155" s="2" t="s">
        <v>22</v>
      </c>
      <c r="C155" s="4">
        <v>45904</v>
      </c>
      <c r="D155" s="4" t="str">
        <f t="shared" si="2"/>
        <v>E0000645904</v>
      </c>
      <c r="E155" s="2" t="s">
        <v>169</v>
      </c>
      <c r="F155" s="2" t="s">
        <v>162</v>
      </c>
    </row>
    <row r="156" spans="1:6" x14ac:dyDescent="0.25">
      <c r="A156" s="2" t="s">
        <v>21</v>
      </c>
      <c r="B156" s="2" t="s">
        <v>22</v>
      </c>
      <c r="C156" s="4">
        <v>45905</v>
      </c>
      <c r="D156" s="4" t="str">
        <f t="shared" si="2"/>
        <v>E0000645905</v>
      </c>
      <c r="E156" s="2" t="s">
        <v>170</v>
      </c>
      <c r="F156" s="2" t="s">
        <v>162</v>
      </c>
    </row>
    <row r="157" spans="1:6" x14ac:dyDescent="0.25">
      <c r="A157" s="2" t="s">
        <v>21</v>
      </c>
      <c r="B157" s="2" t="s">
        <v>22</v>
      </c>
      <c r="C157" s="4">
        <v>45906</v>
      </c>
      <c r="D157" s="4" t="str">
        <f t="shared" si="2"/>
        <v>E0000645906</v>
      </c>
      <c r="E157" s="2" t="s">
        <v>171</v>
      </c>
      <c r="F157" s="2" t="s">
        <v>163</v>
      </c>
    </row>
    <row r="158" spans="1:6" x14ac:dyDescent="0.25">
      <c r="A158" s="2" t="s">
        <v>21</v>
      </c>
      <c r="B158" s="2" t="s">
        <v>22</v>
      </c>
      <c r="C158" s="4">
        <v>45907</v>
      </c>
      <c r="D158" s="4" t="str">
        <f t="shared" si="2"/>
        <v>E0000645907</v>
      </c>
      <c r="E158" s="2" t="s">
        <v>172</v>
      </c>
      <c r="F158" s="2" t="s">
        <v>164</v>
      </c>
    </row>
    <row r="159" spans="1:6" x14ac:dyDescent="0.25">
      <c r="A159" s="2" t="s">
        <v>21</v>
      </c>
      <c r="B159" s="2" t="s">
        <v>22</v>
      </c>
      <c r="C159" s="4">
        <v>45908</v>
      </c>
      <c r="D159" s="4" t="str">
        <f t="shared" si="2"/>
        <v>E0000645908</v>
      </c>
      <c r="E159" s="2" t="s">
        <v>166</v>
      </c>
      <c r="F159" s="2" t="s">
        <v>162</v>
      </c>
    </row>
    <row r="160" spans="1:6" x14ac:dyDescent="0.25">
      <c r="A160" s="2" t="s">
        <v>21</v>
      </c>
      <c r="B160" s="2" t="s">
        <v>22</v>
      </c>
      <c r="C160" s="4">
        <v>45909</v>
      </c>
      <c r="D160" s="4" t="str">
        <f t="shared" si="2"/>
        <v>E0000645909</v>
      </c>
      <c r="E160" s="2" t="s">
        <v>167</v>
      </c>
      <c r="F160" s="2" t="s">
        <v>162</v>
      </c>
    </row>
    <row r="161" spans="1:6" x14ac:dyDescent="0.25">
      <c r="A161" s="2" t="s">
        <v>21</v>
      </c>
      <c r="B161" s="2" t="s">
        <v>22</v>
      </c>
      <c r="C161" s="4">
        <v>45910</v>
      </c>
      <c r="D161" s="4" t="str">
        <f t="shared" si="2"/>
        <v>E0000645910</v>
      </c>
      <c r="E161" s="2" t="s">
        <v>168</v>
      </c>
      <c r="F161" s="2" t="s">
        <v>162</v>
      </c>
    </row>
    <row r="162" spans="1:6" x14ac:dyDescent="0.25">
      <c r="A162" s="2" t="s">
        <v>21</v>
      </c>
      <c r="B162" s="2" t="s">
        <v>22</v>
      </c>
      <c r="C162" s="4">
        <v>45911</v>
      </c>
      <c r="D162" s="4" t="str">
        <f t="shared" si="2"/>
        <v>E0000645911</v>
      </c>
      <c r="E162" s="2" t="s">
        <v>169</v>
      </c>
      <c r="F162" s="2" t="s">
        <v>162</v>
      </c>
    </row>
    <row r="163" spans="1:6" x14ac:dyDescent="0.25">
      <c r="A163" s="2" t="s">
        <v>21</v>
      </c>
      <c r="B163" s="2" t="s">
        <v>22</v>
      </c>
      <c r="C163" s="4">
        <v>45912</v>
      </c>
      <c r="D163" s="4" t="str">
        <f t="shared" si="2"/>
        <v>E0000645912</v>
      </c>
      <c r="E163" s="2" t="s">
        <v>170</v>
      </c>
      <c r="F163" s="2" t="s">
        <v>162</v>
      </c>
    </row>
    <row r="164" spans="1:6" x14ac:dyDescent="0.25">
      <c r="A164" s="2" t="s">
        <v>21</v>
      </c>
      <c r="B164" s="2" t="s">
        <v>22</v>
      </c>
      <c r="C164" s="4">
        <v>45913</v>
      </c>
      <c r="D164" s="4" t="str">
        <f t="shared" si="2"/>
        <v>E0000645913</v>
      </c>
      <c r="E164" s="2" t="s">
        <v>171</v>
      </c>
      <c r="F164" s="2" t="s">
        <v>165</v>
      </c>
    </row>
    <row r="165" spans="1:6" x14ac:dyDescent="0.25">
      <c r="A165" s="2" t="s">
        <v>21</v>
      </c>
      <c r="B165" s="2" t="s">
        <v>22</v>
      </c>
      <c r="C165" s="4">
        <v>45914</v>
      </c>
      <c r="D165" s="4" t="str">
        <f t="shared" si="2"/>
        <v>E0000645914</v>
      </c>
      <c r="E165" s="2" t="s">
        <v>172</v>
      </c>
      <c r="F165" s="2" t="s">
        <v>164</v>
      </c>
    </row>
    <row r="166" spans="1:6" x14ac:dyDescent="0.25">
      <c r="A166" s="2" t="s">
        <v>21</v>
      </c>
      <c r="B166" s="2" t="s">
        <v>22</v>
      </c>
      <c r="C166" s="4">
        <v>45915</v>
      </c>
      <c r="D166" s="4" t="str">
        <f t="shared" si="2"/>
        <v>E0000645915</v>
      </c>
      <c r="E166" s="2" t="s">
        <v>166</v>
      </c>
      <c r="F166" s="2" t="s">
        <v>162</v>
      </c>
    </row>
    <row r="167" spans="1:6" x14ac:dyDescent="0.25">
      <c r="A167" s="2" t="s">
        <v>21</v>
      </c>
      <c r="B167" s="2" t="s">
        <v>22</v>
      </c>
      <c r="C167" s="4">
        <v>45916</v>
      </c>
      <c r="D167" s="4" t="str">
        <f t="shared" si="2"/>
        <v>E0000645916</v>
      </c>
      <c r="E167" s="2" t="s">
        <v>167</v>
      </c>
      <c r="F167" s="2" t="s">
        <v>162</v>
      </c>
    </row>
    <row r="168" spans="1:6" x14ac:dyDescent="0.25">
      <c r="A168" s="2" t="s">
        <v>21</v>
      </c>
      <c r="B168" s="2" t="s">
        <v>22</v>
      </c>
      <c r="C168" s="4">
        <v>45917</v>
      </c>
      <c r="D168" s="4" t="str">
        <f t="shared" si="2"/>
        <v>E0000645917</v>
      </c>
      <c r="E168" s="2" t="s">
        <v>168</v>
      </c>
      <c r="F168" s="2" t="s">
        <v>162</v>
      </c>
    </row>
    <row r="169" spans="1:6" x14ac:dyDescent="0.25">
      <c r="A169" s="2" t="s">
        <v>21</v>
      </c>
      <c r="B169" s="2" t="s">
        <v>22</v>
      </c>
      <c r="C169" s="4">
        <v>45918</v>
      </c>
      <c r="D169" s="4" t="str">
        <f t="shared" si="2"/>
        <v>E0000645918</v>
      </c>
      <c r="E169" s="2" t="s">
        <v>169</v>
      </c>
      <c r="F169" s="2" t="s">
        <v>165</v>
      </c>
    </row>
    <row r="170" spans="1:6" x14ac:dyDescent="0.25">
      <c r="A170" s="2" t="s">
        <v>21</v>
      </c>
      <c r="B170" s="2" t="s">
        <v>22</v>
      </c>
      <c r="C170" s="4">
        <v>45919</v>
      </c>
      <c r="D170" s="4" t="str">
        <f t="shared" si="2"/>
        <v>E0000645919</v>
      </c>
      <c r="E170" s="2" t="s">
        <v>170</v>
      </c>
      <c r="F170" s="2" t="s">
        <v>162</v>
      </c>
    </row>
    <row r="171" spans="1:6" x14ac:dyDescent="0.25">
      <c r="A171" s="2" t="s">
        <v>21</v>
      </c>
      <c r="B171" s="2" t="s">
        <v>22</v>
      </c>
      <c r="C171" s="4">
        <v>45920</v>
      </c>
      <c r="D171" s="4" t="str">
        <f t="shared" si="2"/>
        <v>E0000645920</v>
      </c>
      <c r="E171" s="2" t="s">
        <v>171</v>
      </c>
      <c r="F171" s="2" t="s">
        <v>162</v>
      </c>
    </row>
    <row r="172" spans="1:6" x14ac:dyDescent="0.25">
      <c r="A172" s="2" t="s">
        <v>21</v>
      </c>
      <c r="B172" s="2" t="s">
        <v>22</v>
      </c>
      <c r="C172" s="4">
        <v>45921</v>
      </c>
      <c r="D172" s="4" t="str">
        <f t="shared" si="2"/>
        <v>E0000645921</v>
      </c>
      <c r="E172" s="2" t="s">
        <v>172</v>
      </c>
      <c r="F172" s="2" t="s">
        <v>164</v>
      </c>
    </row>
    <row r="173" spans="1:6" x14ac:dyDescent="0.25">
      <c r="A173" s="2" t="s">
        <v>21</v>
      </c>
      <c r="B173" s="2" t="s">
        <v>22</v>
      </c>
      <c r="C173" s="4">
        <v>45922</v>
      </c>
      <c r="D173" s="4" t="str">
        <f t="shared" si="2"/>
        <v>E0000645922</v>
      </c>
      <c r="E173" s="2" t="s">
        <v>166</v>
      </c>
      <c r="F173" s="2" t="s">
        <v>162</v>
      </c>
    </row>
    <row r="174" spans="1:6" x14ac:dyDescent="0.25">
      <c r="A174" s="2" t="s">
        <v>21</v>
      </c>
      <c r="B174" s="2" t="s">
        <v>22</v>
      </c>
      <c r="C174" s="4">
        <v>45923</v>
      </c>
      <c r="D174" s="4" t="str">
        <f t="shared" si="2"/>
        <v>E0000645923</v>
      </c>
      <c r="E174" s="2" t="s">
        <v>167</v>
      </c>
      <c r="F174" s="2" t="s">
        <v>162</v>
      </c>
    </row>
    <row r="175" spans="1:6" x14ac:dyDescent="0.25">
      <c r="A175" s="2" t="s">
        <v>21</v>
      </c>
      <c r="B175" s="2" t="s">
        <v>22</v>
      </c>
      <c r="C175" s="4">
        <v>45924</v>
      </c>
      <c r="D175" s="4" t="str">
        <f t="shared" si="2"/>
        <v>E0000645924</v>
      </c>
      <c r="E175" s="2" t="s">
        <v>168</v>
      </c>
      <c r="F175" s="2" t="s">
        <v>162</v>
      </c>
    </row>
    <row r="176" spans="1:6" x14ac:dyDescent="0.25">
      <c r="A176" s="2" t="s">
        <v>21</v>
      </c>
      <c r="B176" s="2" t="s">
        <v>22</v>
      </c>
      <c r="C176" s="4">
        <v>45925</v>
      </c>
      <c r="D176" s="4" t="str">
        <f t="shared" si="2"/>
        <v>E0000645925</v>
      </c>
      <c r="E176" s="2" t="s">
        <v>169</v>
      </c>
      <c r="F176" s="2" t="s">
        <v>162</v>
      </c>
    </row>
    <row r="177" spans="1:6" x14ac:dyDescent="0.25">
      <c r="A177" s="2" t="s">
        <v>21</v>
      </c>
      <c r="B177" s="2" t="s">
        <v>22</v>
      </c>
      <c r="C177" s="4">
        <v>45926</v>
      </c>
      <c r="D177" s="4" t="str">
        <f t="shared" si="2"/>
        <v>E0000645926</v>
      </c>
      <c r="E177" s="2" t="s">
        <v>170</v>
      </c>
      <c r="F177" s="2" t="s">
        <v>165</v>
      </c>
    </row>
    <row r="178" spans="1:6" x14ac:dyDescent="0.25">
      <c r="A178" s="2" t="s">
        <v>21</v>
      </c>
      <c r="B178" s="2" t="s">
        <v>22</v>
      </c>
      <c r="C178" s="4">
        <v>45927</v>
      </c>
      <c r="D178" s="4" t="str">
        <f t="shared" si="2"/>
        <v>E0000645927</v>
      </c>
      <c r="E178" s="2" t="s">
        <v>171</v>
      </c>
      <c r="F178" s="2" t="s">
        <v>162</v>
      </c>
    </row>
    <row r="179" spans="1:6" x14ac:dyDescent="0.25">
      <c r="A179" s="2" t="s">
        <v>21</v>
      </c>
      <c r="B179" s="2" t="s">
        <v>22</v>
      </c>
      <c r="C179" s="4">
        <v>45928</v>
      </c>
      <c r="D179" s="4" t="str">
        <f t="shared" si="2"/>
        <v>E0000645928</v>
      </c>
      <c r="E179" s="2" t="s">
        <v>172</v>
      </c>
      <c r="F179" s="2" t="s">
        <v>164</v>
      </c>
    </row>
    <row r="180" spans="1:6" x14ac:dyDescent="0.25">
      <c r="A180" s="2" t="s">
        <v>21</v>
      </c>
      <c r="B180" s="2" t="s">
        <v>22</v>
      </c>
      <c r="C180" s="4">
        <v>45929</v>
      </c>
      <c r="D180" s="4" t="str">
        <f t="shared" si="2"/>
        <v>E0000645929</v>
      </c>
      <c r="E180" s="2" t="s">
        <v>166</v>
      </c>
      <c r="F180" s="2" t="s">
        <v>162</v>
      </c>
    </row>
    <row r="181" spans="1:6" x14ac:dyDescent="0.25">
      <c r="A181" s="2" t="s">
        <v>21</v>
      </c>
      <c r="B181" s="2" t="s">
        <v>22</v>
      </c>
      <c r="C181" s="4">
        <v>45930</v>
      </c>
      <c r="D181" s="4" t="str">
        <f t="shared" si="2"/>
        <v>E0000645930</v>
      </c>
      <c r="E181" s="2" t="s">
        <v>167</v>
      </c>
      <c r="F181" s="2" t="s">
        <v>162</v>
      </c>
    </row>
    <row r="182" spans="1:6" x14ac:dyDescent="0.25">
      <c r="A182" s="2" t="s">
        <v>23</v>
      </c>
      <c r="B182" s="2" t="s">
        <v>24</v>
      </c>
      <c r="C182" s="4">
        <v>45901</v>
      </c>
      <c r="D182" s="4" t="str">
        <f t="shared" si="2"/>
        <v>E0000745901</v>
      </c>
      <c r="E182" s="2" t="s">
        <v>166</v>
      </c>
      <c r="F182" s="2" t="s">
        <v>163</v>
      </c>
    </row>
    <row r="183" spans="1:6" x14ac:dyDescent="0.25">
      <c r="A183" s="2" t="s">
        <v>23</v>
      </c>
      <c r="B183" s="2" t="s">
        <v>24</v>
      </c>
      <c r="C183" s="4">
        <v>45902</v>
      </c>
      <c r="D183" s="4" t="str">
        <f t="shared" si="2"/>
        <v>E0000745902</v>
      </c>
      <c r="E183" s="2" t="s">
        <v>167</v>
      </c>
      <c r="F183" s="2" t="s">
        <v>163</v>
      </c>
    </row>
    <row r="184" spans="1:6" x14ac:dyDescent="0.25">
      <c r="A184" s="2" t="s">
        <v>23</v>
      </c>
      <c r="B184" s="2" t="s">
        <v>24</v>
      </c>
      <c r="C184" s="4">
        <v>45903</v>
      </c>
      <c r="D184" s="4" t="str">
        <f t="shared" si="2"/>
        <v>E0000745903</v>
      </c>
      <c r="E184" s="2" t="s">
        <v>168</v>
      </c>
      <c r="F184" s="2" t="s">
        <v>162</v>
      </c>
    </row>
    <row r="185" spans="1:6" x14ac:dyDescent="0.25">
      <c r="A185" s="2" t="s">
        <v>23</v>
      </c>
      <c r="B185" s="2" t="s">
        <v>24</v>
      </c>
      <c r="C185" s="4">
        <v>45904</v>
      </c>
      <c r="D185" s="4" t="str">
        <f t="shared" si="2"/>
        <v>E0000745904</v>
      </c>
      <c r="E185" s="2" t="s">
        <v>169</v>
      </c>
      <c r="F185" s="2" t="s">
        <v>162</v>
      </c>
    </row>
    <row r="186" spans="1:6" x14ac:dyDescent="0.25">
      <c r="A186" s="2" t="s">
        <v>23</v>
      </c>
      <c r="B186" s="2" t="s">
        <v>24</v>
      </c>
      <c r="C186" s="4">
        <v>45905</v>
      </c>
      <c r="D186" s="4" t="str">
        <f t="shared" si="2"/>
        <v>E0000745905</v>
      </c>
      <c r="E186" s="2" t="s">
        <v>170</v>
      </c>
      <c r="F186" s="2" t="s">
        <v>162</v>
      </c>
    </row>
    <row r="187" spans="1:6" x14ac:dyDescent="0.25">
      <c r="A187" s="2" t="s">
        <v>23</v>
      </c>
      <c r="B187" s="2" t="s">
        <v>24</v>
      </c>
      <c r="C187" s="4">
        <v>45906</v>
      </c>
      <c r="D187" s="4" t="str">
        <f t="shared" si="2"/>
        <v>E0000745906</v>
      </c>
      <c r="E187" s="2" t="s">
        <v>171</v>
      </c>
      <c r="F187" s="2" t="s">
        <v>162</v>
      </c>
    </row>
    <row r="188" spans="1:6" x14ac:dyDescent="0.25">
      <c r="A188" s="2" t="s">
        <v>23</v>
      </c>
      <c r="B188" s="2" t="s">
        <v>24</v>
      </c>
      <c r="C188" s="4">
        <v>45907</v>
      </c>
      <c r="D188" s="4" t="str">
        <f t="shared" si="2"/>
        <v>E0000745907</v>
      </c>
      <c r="E188" s="2" t="s">
        <v>172</v>
      </c>
      <c r="F188" s="2" t="s">
        <v>164</v>
      </c>
    </row>
    <row r="189" spans="1:6" x14ac:dyDescent="0.25">
      <c r="A189" s="2" t="s">
        <v>23</v>
      </c>
      <c r="B189" s="2" t="s">
        <v>24</v>
      </c>
      <c r="C189" s="4">
        <v>45908</v>
      </c>
      <c r="D189" s="4" t="str">
        <f t="shared" si="2"/>
        <v>E0000745908</v>
      </c>
      <c r="E189" s="2" t="s">
        <v>166</v>
      </c>
      <c r="F189" s="2" t="s">
        <v>162</v>
      </c>
    </row>
    <row r="190" spans="1:6" x14ac:dyDescent="0.25">
      <c r="A190" s="2" t="s">
        <v>23</v>
      </c>
      <c r="B190" s="2" t="s">
        <v>24</v>
      </c>
      <c r="C190" s="4">
        <v>45909</v>
      </c>
      <c r="D190" s="4" t="str">
        <f t="shared" si="2"/>
        <v>E0000745909</v>
      </c>
      <c r="E190" s="2" t="s">
        <v>167</v>
      </c>
      <c r="F190" s="2" t="s">
        <v>163</v>
      </c>
    </row>
    <row r="191" spans="1:6" x14ac:dyDescent="0.25">
      <c r="A191" s="2" t="s">
        <v>23</v>
      </c>
      <c r="B191" s="2" t="s">
        <v>24</v>
      </c>
      <c r="C191" s="4">
        <v>45910</v>
      </c>
      <c r="D191" s="4" t="str">
        <f t="shared" si="2"/>
        <v>E0000745910</v>
      </c>
      <c r="E191" s="2" t="s">
        <v>168</v>
      </c>
      <c r="F191" s="2" t="s">
        <v>163</v>
      </c>
    </row>
    <row r="192" spans="1:6" x14ac:dyDescent="0.25">
      <c r="A192" s="2" t="s">
        <v>23</v>
      </c>
      <c r="B192" s="2" t="s">
        <v>24</v>
      </c>
      <c r="C192" s="4">
        <v>45911</v>
      </c>
      <c r="D192" s="4" t="str">
        <f t="shared" si="2"/>
        <v>E0000745911</v>
      </c>
      <c r="E192" s="2" t="s">
        <v>169</v>
      </c>
      <c r="F192" s="2" t="s">
        <v>162</v>
      </c>
    </row>
    <row r="193" spans="1:6" x14ac:dyDescent="0.25">
      <c r="A193" s="2" t="s">
        <v>23</v>
      </c>
      <c r="B193" s="2" t="s">
        <v>24</v>
      </c>
      <c r="C193" s="4">
        <v>45912</v>
      </c>
      <c r="D193" s="4" t="str">
        <f t="shared" si="2"/>
        <v>E0000745912</v>
      </c>
      <c r="E193" s="2" t="s">
        <v>170</v>
      </c>
      <c r="F193" s="2" t="s">
        <v>162</v>
      </c>
    </row>
    <row r="194" spans="1:6" x14ac:dyDescent="0.25">
      <c r="A194" s="2" t="s">
        <v>23</v>
      </c>
      <c r="B194" s="2" t="s">
        <v>24</v>
      </c>
      <c r="C194" s="4">
        <v>45913</v>
      </c>
      <c r="D194" s="4" t="str">
        <f t="shared" si="2"/>
        <v>E0000745913</v>
      </c>
      <c r="E194" s="2" t="s">
        <v>171</v>
      </c>
      <c r="F194" s="2" t="s">
        <v>163</v>
      </c>
    </row>
    <row r="195" spans="1:6" x14ac:dyDescent="0.25">
      <c r="A195" s="2" t="s">
        <v>23</v>
      </c>
      <c r="B195" s="2" t="s">
        <v>24</v>
      </c>
      <c r="C195" s="4">
        <v>45914</v>
      </c>
      <c r="D195" s="4" t="str">
        <f t="shared" ref="D195:D258" si="3">A195&amp;C195</f>
        <v>E0000745914</v>
      </c>
      <c r="E195" s="2" t="s">
        <v>172</v>
      </c>
      <c r="F195" s="2" t="s">
        <v>164</v>
      </c>
    </row>
    <row r="196" spans="1:6" x14ac:dyDescent="0.25">
      <c r="A196" s="2" t="s">
        <v>23</v>
      </c>
      <c r="B196" s="2" t="s">
        <v>24</v>
      </c>
      <c r="C196" s="4">
        <v>45915</v>
      </c>
      <c r="D196" s="4" t="str">
        <f t="shared" si="3"/>
        <v>E0000745915</v>
      </c>
      <c r="E196" s="2" t="s">
        <v>166</v>
      </c>
      <c r="F196" s="2" t="s">
        <v>163</v>
      </c>
    </row>
    <row r="197" spans="1:6" x14ac:dyDescent="0.25">
      <c r="A197" s="2" t="s">
        <v>23</v>
      </c>
      <c r="B197" s="2" t="s">
        <v>24</v>
      </c>
      <c r="C197" s="4">
        <v>45916</v>
      </c>
      <c r="D197" s="4" t="str">
        <f t="shared" si="3"/>
        <v>E0000745916</v>
      </c>
      <c r="E197" s="2" t="s">
        <v>167</v>
      </c>
      <c r="F197" s="2" t="s">
        <v>162</v>
      </c>
    </row>
    <row r="198" spans="1:6" x14ac:dyDescent="0.25">
      <c r="A198" s="2" t="s">
        <v>23</v>
      </c>
      <c r="B198" s="2" t="s">
        <v>24</v>
      </c>
      <c r="C198" s="4">
        <v>45917</v>
      </c>
      <c r="D198" s="4" t="str">
        <f t="shared" si="3"/>
        <v>E0000745917</v>
      </c>
      <c r="E198" s="2" t="s">
        <v>168</v>
      </c>
      <c r="F198" s="2" t="s">
        <v>162</v>
      </c>
    </row>
    <row r="199" spans="1:6" x14ac:dyDescent="0.25">
      <c r="A199" s="2" t="s">
        <v>23</v>
      </c>
      <c r="B199" s="2" t="s">
        <v>24</v>
      </c>
      <c r="C199" s="4">
        <v>45918</v>
      </c>
      <c r="D199" s="4" t="str">
        <f t="shared" si="3"/>
        <v>E0000745918</v>
      </c>
      <c r="E199" s="2" t="s">
        <v>169</v>
      </c>
      <c r="F199" s="2" t="s">
        <v>162</v>
      </c>
    </row>
    <row r="200" spans="1:6" x14ac:dyDescent="0.25">
      <c r="A200" s="2" t="s">
        <v>23</v>
      </c>
      <c r="B200" s="2" t="s">
        <v>24</v>
      </c>
      <c r="C200" s="4">
        <v>45919</v>
      </c>
      <c r="D200" s="4" t="str">
        <f t="shared" si="3"/>
        <v>E0000745919</v>
      </c>
      <c r="E200" s="2" t="s">
        <v>170</v>
      </c>
      <c r="F200" s="2" t="s">
        <v>162</v>
      </c>
    </row>
    <row r="201" spans="1:6" x14ac:dyDescent="0.25">
      <c r="A201" s="2" t="s">
        <v>23</v>
      </c>
      <c r="B201" s="2" t="s">
        <v>24</v>
      </c>
      <c r="C201" s="4">
        <v>45920</v>
      </c>
      <c r="D201" s="4" t="str">
        <f t="shared" si="3"/>
        <v>E0000745920</v>
      </c>
      <c r="E201" s="2" t="s">
        <v>171</v>
      </c>
      <c r="F201" s="2" t="s">
        <v>162</v>
      </c>
    </row>
    <row r="202" spans="1:6" x14ac:dyDescent="0.25">
      <c r="A202" s="2" t="s">
        <v>23</v>
      </c>
      <c r="B202" s="2" t="s">
        <v>24</v>
      </c>
      <c r="C202" s="4">
        <v>45921</v>
      </c>
      <c r="D202" s="4" t="str">
        <f t="shared" si="3"/>
        <v>E0000745921</v>
      </c>
      <c r="E202" s="2" t="s">
        <v>172</v>
      </c>
      <c r="F202" s="2" t="s">
        <v>164</v>
      </c>
    </row>
    <row r="203" spans="1:6" x14ac:dyDescent="0.25">
      <c r="A203" s="2" t="s">
        <v>23</v>
      </c>
      <c r="B203" s="2" t="s">
        <v>24</v>
      </c>
      <c r="C203" s="4">
        <v>45922</v>
      </c>
      <c r="D203" s="4" t="str">
        <f t="shared" si="3"/>
        <v>E0000745922</v>
      </c>
      <c r="E203" s="2" t="s">
        <v>166</v>
      </c>
      <c r="F203" s="2" t="s">
        <v>162</v>
      </c>
    </row>
    <row r="204" spans="1:6" x14ac:dyDescent="0.25">
      <c r="A204" s="2" t="s">
        <v>23</v>
      </c>
      <c r="B204" s="2" t="s">
        <v>24</v>
      </c>
      <c r="C204" s="4">
        <v>45923</v>
      </c>
      <c r="D204" s="4" t="str">
        <f t="shared" si="3"/>
        <v>E0000745923</v>
      </c>
      <c r="E204" s="2" t="s">
        <v>167</v>
      </c>
      <c r="F204" s="2" t="s">
        <v>162</v>
      </c>
    </row>
    <row r="205" spans="1:6" x14ac:dyDescent="0.25">
      <c r="A205" s="2" t="s">
        <v>23</v>
      </c>
      <c r="B205" s="2" t="s">
        <v>24</v>
      </c>
      <c r="C205" s="4">
        <v>45924</v>
      </c>
      <c r="D205" s="4" t="str">
        <f t="shared" si="3"/>
        <v>E0000745924</v>
      </c>
      <c r="E205" s="2" t="s">
        <v>168</v>
      </c>
      <c r="F205" s="2" t="s">
        <v>162</v>
      </c>
    </row>
    <row r="206" spans="1:6" x14ac:dyDescent="0.25">
      <c r="A206" s="2" t="s">
        <v>23</v>
      </c>
      <c r="B206" s="2" t="s">
        <v>24</v>
      </c>
      <c r="C206" s="4">
        <v>45925</v>
      </c>
      <c r="D206" s="4" t="str">
        <f t="shared" si="3"/>
        <v>E0000745925</v>
      </c>
      <c r="E206" s="2" t="s">
        <v>169</v>
      </c>
      <c r="F206" s="2" t="s">
        <v>163</v>
      </c>
    </row>
    <row r="207" spans="1:6" x14ac:dyDescent="0.25">
      <c r="A207" s="2" t="s">
        <v>23</v>
      </c>
      <c r="B207" s="2" t="s">
        <v>24</v>
      </c>
      <c r="C207" s="4">
        <v>45926</v>
      </c>
      <c r="D207" s="4" t="str">
        <f t="shared" si="3"/>
        <v>E0000745926</v>
      </c>
      <c r="E207" s="2" t="s">
        <v>170</v>
      </c>
      <c r="F207" s="2" t="s">
        <v>162</v>
      </c>
    </row>
    <row r="208" spans="1:6" x14ac:dyDescent="0.25">
      <c r="A208" s="2" t="s">
        <v>23</v>
      </c>
      <c r="B208" s="2" t="s">
        <v>24</v>
      </c>
      <c r="C208" s="4">
        <v>45927</v>
      </c>
      <c r="D208" s="4" t="str">
        <f t="shared" si="3"/>
        <v>E0000745927</v>
      </c>
      <c r="E208" s="2" t="s">
        <v>171</v>
      </c>
      <c r="F208" s="2" t="s">
        <v>162</v>
      </c>
    </row>
    <row r="209" spans="1:6" x14ac:dyDescent="0.25">
      <c r="A209" s="2" t="s">
        <v>23</v>
      </c>
      <c r="B209" s="2" t="s">
        <v>24</v>
      </c>
      <c r="C209" s="4">
        <v>45928</v>
      </c>
      <c r="D209" s="4" t="str">
        <f t="shared" si="3"/>
        <v>E0000745928</v>
      </c>
      <c r="E209" s="2" t="s">
        <v>172</v>
      </c>
      <c r="F209" s="2" t="s">
        <v>164</v>
      </c>
    </row>
    <row r="210" spans="1:6" x14ac:dyDescent="0.25">
      <c r="A210" s="2" t="s">
        <v>23</v>
      </c>
      <c r="B210" s="2" t="s">
        <v>24</v>
      </c>
      <c r="C210" s="4">
        <v>45929</v>
      </c>
      <c r="D210" s="4" t="str">
        <f t="shared" si="3"/>
        <v>E0000745929</v>
      </c>
      <c r="E210" s="2" t="s">
        <v>166</v>
      </c>
      <c r="F210" s="2" t="s">
        <v>163</v>
      </c>
    </row>
    <row r="211" spans="1:6" x14ac:dyDescent="0.25">
      <c r="A211" s="2" t="s">
        <v>23</v>
      </c>
      <c r="B211" s="2" t="s">
        <v>24</v>
      </c>
      <c r="C211" s="4">
        <v>45930</v>
      </c>
      <c r="D211" s="4" t="str">
        <f t="shared" si="3"/>
        <v>E0000745930</v>
      </c>
      <c r="E211" s="2" t="s">
        <v>167</v>
      </c>
      <c r="F211" s="2" t="s">
        <v>162</v>
      </c>
    </row>
    <row r="212" spans="1:6" x14ac:dyDescent="0.25">
      <c r="A212" s="2" t="s">
        <v>26</v>
      </c>
      <c r="B212" s="2" t="s">
        <v>27</v>
      </c>
      <c r="C212" s="4">
        <v>45901</v>
      </c>
      <c r="D212" s="4" t="str">
        <f t="shared" si="3"/>
        <v>E0000845901</v>
      </c>
      <c r="E212" s="2" t="s">
        <v>166</v>
      </c>
      <c r="F212" s="2" t="s">
        <v>162</v>
      </c>
    </row>
    <row r="213" spans="1:6" x14ac:dyDescent="0.25">
      <c r="A213" s="2" t="s">
        <v>26</v>
      </c>
      <c r="B213" s="2" t="s">
        <v>27</v>
      </c>
      <c r="C213" s="4">
        <v>45902</v>
      </c>
      <c r="D213" s="4" t="str">
        <f t="shared" si="3"/>
        <v>E0000845902</v>
      </c>
      <c r="E213" s="2" t="s">
        <v>167</v>
      </c>
      <c r="F213" s="2" t="s">
        <v>162</v>
      </c>
    </row>
    <row r="214" spans="1:6" x14ac:dyDescent="0.25">
      <c r="A214" s="2" t="s">
        <v>26</v>
      </c>
      <c r="B214" s="2" t="s">
        <v>27</v>
      </c>
      <c r="C214" s="4">
        <v>45903</v>
      </c>
      <c r="D214" s="4" t="str">
        <f t="shared" si="3"/>
        <v>E0000845903</v>
      </c>
      <c r="E214" s="2" t="s">
        <v>168</v>
      </c>
      <c r="F214" s="2" t="s">
        <v>162</v>
      </c>
    </row>
    <row r="215" spans="1:6" x14ac:dyDescent="0.25">
      <c r="A215" s="2" t="s">
        <v>26</v>
      </c>
      <c r="B215" s="2" t="s">
        <v>27</v>
      </c>
      <c r="C215" s="4">
        <v>45904</v>
      </c>
      <c r="D215" s="4" t="str">
        <f t="shared" si="3"/>
        <v>E0000845904</v>
      </c>
      <c r="E215" s="2" t="s">
        <v>169</v>
      </c>
      <c r="F215" s="2" t="s">
        <v>162</v>
      </c>
    </row>
    <row r="216" spans="1:6" x14ac:dyDescent="0.25">
      <c r="A216" s="2" t="s">
        <v>26</v>
      </c>
      <c r="B216" s="2" t="s">
        <v>27</v>
      </c>
      <c r="C216" s="4">
        <v>45905</v>
      </c>
      <c r="D216" s="4" t="str">
        <f t="shared" si="3"/>
        <v>E0000845905</v>
      </c>
      <c r="E216" s="2" t="s">
        <v>170</v>
      </c>
      <c r="F216" s="2" t="s">
        <v>163</v>
      </c>
    </row>
    <row r="217" spans="1:6" x14ac:dyDescent="0.25">
      <c r="A217" s="2" t="s">
        <v>26</v>
      </c>
      <c r="B217" s="2" t="s">
        <v>27</v>
      </c>
      <c r="C217" s="4">
        <v>45906</v>
      </c>
      <c r="D217" s="4" t="str">
        <f t="shared" si="3"/>
        <v>E0000845906</v>
      </c>
      <c r="E217" s="2" t="s">
        <v>171</v>
      </c>
      <c r="F217" s="2" t="s">
        <v>162</v>
      </c>
    </row>
    <row r="218" spans="1:6" x14ac:dyDescent="0.25">
      <c r="A218" s="2" t="s">
        <v>26</v>
      </c>
      <c r="B218" s="2" t="s">
        <v>27</v>
      </c>
      <c r="C218" s="4">
        <v>45907</v>
      </c>
      <c r="D218" s="4" t="str">
        <f t="shared" si="3"/>
        <v>E0000845907</v>
      </c>
      <c r="E218" s="2" t="s">
        <v>172</v>
      </c>
      <c r="F218" s="2" t="s">
        <v>164</v>
      </c>
    </row>
    <row r="219" spans="1:6" x14ac:dyDescent="0.25">
      <c r="A219" s="2" t="s">
        <v>26</v>
      </c>
      <c r="B219" s="2" t="s">
        <v>27</v>
      </c>
      <c r="C219" s="4">
        <v>45908</v>
      </c>
      <c r="D219" s="4" t="str">
        <f t="shared" si="3"/>
        <v>E0000845908</v>
      </c>
      <c r="E219" s="2" t="s">
        <v>166</v>
      </c>
      <c r="F219" s="2" t="s">
        <v>162</v>
      </c>
    </row>
    <row r="220" spans="1:6" x14ac:dyDescent="0.25">
      <c r="A220" s="2" t="s">
        <v>26</v>
      </c>
      <c r="B220" s="2" t="s">
        <v>27</v>
      </c>
      <c r="C220" s="4">
        <v>45909</v>
      </c>
      <c r="D220" s="4" t="str">
        <f t="shared" si="3"/>
        <v>E0000845909</v>
      </c>
      <c r="E220" s="2" t="s">
        <v>167</v>
      </c>
      <c r="F220" s="2" t="s">
        <v>162</v>
      </c>
    </row>
    <row r="221" spans="1:6" x14ac:dyDescent="0.25">
      <c r="A221" s="2" t="s">
        <v>26</v>
      </c>
      <c r="B221" s="2" t="s">
        <v>27</v>
      </c>
      <c r="C221" s="4">
        <v>45910</v>
      </c>
      <c r="D221" s="4" t="str">
        <f t="shared" si="3"/>
        <v>E0000845910</v>
      </c>
      <c r="E221" s="2" t="s">
        <v>168</v>
      </c>
      <c r="F221" s="2" t="s">
        <v>162</v>
      </c>
    </row>
    <row r="222" spans="1:6" x14ac:dyDescent="0.25">
      <c r="A222" s="2" t="s">
        <v>26</v>
      </c>
      <c r="B222" s="2" t="s">
        <v>27</v>
      </c>
      <c r="C222" s="4">
        <v>45911</v>
      </c>
      <c r="D222" s="4" t="str">
        <f t="shared" si="3"/>
        <v>E0000845911</v>
      </c>
      <c r="E222" s="2" t="s">
        <v>169</v>
      </c>
      <c r="F222" s="2" t="s">
        <v>162</v>
      </c>
    </row>
    <row r="223" spans="1:6" x14ac:dyDescent="0.25">
      <c r="A223" s="2" t="s">
        <v>26</v>
      </c>
      <c r="B223" s="2" t="s">
        <v>27</v>
      </c>
      <c r="C223" s="4">
        <v>45912</v>
      </c>
      <c r="D223" s="4" t="str">
        <f t="shared" si="3"/>
        <v>E0000845912</v>
      </c>
      <c r="E223" s="2" t="s">
        <v>170</v>
      </c>
      <c r="F223" s="2" t="s">
        <v>165</v>
      </c>
    </row>
    <row r="224" spans="1:6" x14ac:dyDescent="0.25">
      <c r="A224" s="2" t="s">
        <v>26</v>
      </c>
      <c r="B224" s="2" t="s">
        <v>27</v>
      </c>
      <c r="C224" s="4">
        <v>45913</v>
      </c>
      <c r="D224" s="4" t="str">
        <f t="shared" si="3"/>
        <v>E0000845913</v>
      </c>
      <c r="E224" s="2" t="s">
        <v>171</v>
      </c>
      <c r="F224" s="2" t="s">
        <v>165</v>
      </c>
    </row>
    <row r="225" spans="1:6" x14ac:dyDescent="0.25">
      <c r="A225" s="2" t="s">
        <v>26</v>
      </c>
      <c r="B225" s="2" t="s">
        <v>27</v>
      </c>
      <c r="C225" s="4">
        <v>45914</v>
      </c>
      <c r="D225" s="4" t="str">
        <f t="shared" si="3"/>
        <v>E0000845914</v>
      </c>
      <c r="E225" s="2" t="s">
        <v>172</v>
      </c>
      <c r="F225" s="2" t="s">
        <v>164</v>
      </c>
    </row>
    <row r="226" spans="1:6" x14ac:dyDescent="0.25">
      <c r="A226" s="2" t="s">
        <v>26</v>
      </c>
      <c r="B226" s="2" t="s">
        <v>27</v>
      </c>
      <c r="C226" s="4">
        <v>45915</v>
      </c>
      <c r="D226" s="4" t="str">
        <f t="shared" si="3"/>
        <v>E0000845915</v>
      </c>
      <c r="E226" s="2" t="s">
        <v>166</v>
      </c>
      <c r="F226" s="2" t="s">
        <v>162</v>
      </c>
    </row>
    <row r="227" spans="1:6" x14ac:dyDescent="0.25">
      <c r="A227" s="2" t="s">
        <v>26</v>
      </c>
      <c r="B227" s="2" t="s">
        <v>27</v>
      </c>
      <c r="C227" s="4">
        <v>45916</v>
      </c>
      <c r="D227" s="4" t="str">
        <f t="shared" si="3"/>
        <v>E0000845916</v>
      </c>
      <c r="E227" s="2" t="s">
        <v>167</v>
      </c>
      <c r="F227" s="2" t="s">
        <v>162</v>
      </c>
    </row>
    <row r="228" spans="1:6" x14ac:dyDescent="0.25">
      <c r="A228" s="2" t="s">
        <v>26</v>
      </c>
      <c r="B228" s="2" t="s">
        <v>27</v>
      </c>
      <c r="C228" s="4">
        <v>45917</v>
      </c>
      <c r="D228" s="4" t="str">
        <f t="shared" si="3"/>
        <v>E0000845917</v>
      </c>
      <c r="E228" s="2" t="s">
        <v>168</v>
      </c>
      <c r="F228" s="2" t="s">
        <v>165</v>
      </c>
    </row>
    <row r="229" spans="1:6" x14ac:dyDescent="0.25">
      <c r="A229" s="2" t="s">
        <v>26</v>
      </c>
      <c r="B229" s="2" t="s">
        <v>27</v>
      </c>
      <c r="C229" s="4">
        <v>45918</v>
      </c>
      <c r="D229" s="4" t="str">
        <f t="shared" si="3"/>
        <v>E0000845918</v>
      </c>
      <c r="E229" s="2" t="s">
        <v>169</v>
      </c>
      <c r="F229" s="2" t="s">
        <v>162</v>
      </c>
    </row>
    <row r="230" spans="1:6" x14ac:dyDescent="0.25">
      <c r="A230" s="2" t="s">
        <v>26</v>
      </c>
      <c r="B230" s="2" t="s">
        <v>27</v>
      </c>
      <c r="C230" s="4">
        <v>45919</v>
      </c>
      <c r="D230" s="4" t="str">
        <f t="shared" si="3"/>
        <v>E0000845919</v>
      </c>
      <c r="E230" s="2" t="s">
        <v>170</v>
      </c>
      <c r="F230" s="2" t="s">
        <v>163</v>
      </c>
    </row>
    <row r="231" spans="1:6" x14ac:dyDescent="0.25">
      <c r="A231" s="2" t="s">
        <v>26</v>
      </c>
      <c r="B231" s="2" t="s">
        <v>27</v>
      </c>
      <c r="C231" s="4">
        <v>45920</v>
      </c>
      <c r="D231" s="4" t="str">
        <f t="shared" si="3"/>
        <v>E0000845920</v>
      </c>
      <c r="E231" s="2" t="s">
        <v>171</v>
      </c>
      <c r="F231" s="2" t="s">
        <v>162</v>
      </c>
    </row>
    <row r="232" spans="1:6" x14ac:dyDescent="0.25">
      <c r="A232" s="2" t="s">
        <v>26</v>
      </c>
      <c r="B232" s="2" t="s">
        <v>27</v>
      </c>
      <c r="C232" s="4">
        <v>45921</v>
      </c>
      <c r="D232" s="4" t="str">
        <f t="shared" si="3"/>
        <v>E0000845921</v>
      </c>
      <c r="E232" s="2" t="s">
        <v>172</v>
      </c>
      <c r="F232" s="2" t="s">
        <v>164</v>
      </c>
    </row>
    <row r="233" spans="1:6" x14ac:dyDescent="0.25">
      <c r="A233" s="2" t="s">
        <v>26</v>
      </c>
      <c r="B233" s="2" t="s">
        <v>27</v>
      </c>
      <c r="C233" s="4">
        <v>45922</v>
      </c>
      <c r="D233" s="4" t="str">
        <f t="shared" si="3"/>
        <v>E0000845922</v>
      </c>
      <c r="E233" s="2" t="s">
        <v>166</v>
      </c>
      <c r="F233" s="2" t="s">
        <v>162</v>
      </c>
    </row>
    <row r="234" spans="1:6" x14ac:dyDescent="0.25">
      <c r="A234" s="2" t="s">
        <v>26</v>
      </c>
      <c r="B234" s="2" t="s">
        <v>27</v>
      </c>
      <c r="C234" s="4">
        <v>45923</v>
      </c>
      <c r="D234" s="4" t="str">
        <f t="shared" si="3"/>
        <v>E0000845923</v>
      </c>
      <c r="E234" s="2" t="s">
        <v>167</v>
      </c>
      <c r="F234" s="2" t="s">
        <v>163</v>
      </c>
    </row>
    <row r="235" spans="1:6" x14ac:dyDescent="0.25">
      <c r="A235" s="2" t="s">
        <v>26</v>
      </c>
      <c r="B235" s="2" t="s">
        <v>27</v>
      </c>
      <c r="C235" s="4">
        <v>45924</v>
      </c>
      <c r="D235" s="4" t="str">
        <f t="shared" si="3"/>
        <v>E0000845924</v>
      </c>
      <c r="E235" s="2" t="s">
        <v>168</v>
      </c>
      <c r="F235" s="2" t="s">
        <v>162</v>
      </c>
    </row>
    <row r="236" spans="1:6" x14ac:dyDescent="0.25">
      <c r="A236" s="2" t="s">
        <v>26</v>
      </c>
      <c r="B236" s="2" t="s">
        <v>27</v>
      </c>
      <c r="C236" s="4">
        <v>45925</v>
      </c>
      <c r="D236" s="4" t="str">
        <f t="shared" si="3"/>
        <v>E0000845925</v>
      </c>
      <c r="E236" s="2" t="s">
        <v>169</v>
      </c>
      <c r="F236" s="2" t="s">
        <v>165</v>
      </c>
    </row>
    <row r="237" spans="1:6" x14ac:dyDescent="0.25">
      <c r="A237" s="2" t="s">
        <v>26</v>
      </c>
      <c r="B237" s="2" t="s">
        <v>27</v>
      </c>
      <c r="C237" s="4">
        <v>45926</v>
      </c>
      <c r="D237" s="4" t="str">
        <f t="shared" si="3"/>
        <v>E0000845926</v>
      </c>
      <c r="E237" s="2" t="s">
        <v>170</v>
      </c>
      <c r="F237" s="2" t="s">
        <v>162</v>
      </c>
    </row>
    <row r="238" spans="1:6" x14ac:dyDescent="0.25">
      <c r="A238" s="2" t="s">
        <v>26</v>
      </c>
      <c r="B238" s="2" t="s">
        <v>27</v>
      </c>
      <c r="C238" s="4">
        <v>45927</v>
      </c>
      <c r="D238" s="4" t="str">
        <f t="shared" si="3"/>
        <v>E0000845927</v>
      </c>
      <c r="E238" s="2" t="s">
        <v>171</v>
      </c>
      <c r="F238" s="2" t="s">
        <v>162</v>
      </c>
    </row>
    <row r="239" spans="1:6" x14ac:dyDescent="0.25">
      <c r="A239" s="2" t="s">
        <v>26</v>
      </c>
      <c r="B239" s="2" t="s">
        <v>27</v>
      </c>
      <c r="C239" s="4">
        <v>45928</v>
      </c>
      <c r="D239" s="4" t="str">
        <f t="shared" si="3"/>
        <v>E0000845928</v>
      </c>
      <c r="E239" s="2" t="s">
        <v>172</v>
      </c>
      <c r="F239" s="2" t="s">
        <v>164</v>
      </c>
    </row>
    <row r="240" spans="1:6" x14ac:dyDescent="0.25">
      <c r="A240" s="2" t="s">
        <v>26</v>
      </c>
      <c r="B240" s="2" t="s">
        <v>27</v>
      </c>
      <c r="C240" s="4">
        <v>45929</v>
      </c>
      <c r="D240" s="4" t="str">
        <f t="shared" si="3"/>
        <v>E0000845929</v>
      </c>
      <c r="E240" s="2" t="s">
        <v>166</v>
      </c>
      <c r="F240" s="2" t="s">
        <v>162</v>
      </c>
    </row>
    <row r="241" spans="1:6" x14ac:dyDescent="0.25">
      <c r="A241" s="2" t="s">
        <v>26</v>
      </c>
      <c r="B241" s="2" t="s">
        <v>27</v>
      </c>
      <c r="C241" s="4">
        <v>45930</v>
      </c>
      <c r="D241" s="4" t="str">
        <f t="shared" si="3"/>
        <v>E0000845930</v>
      </c>
      <c r="E241" s="2" t="s">
        <v>167</v>
      </c>
      <c r="F241" s="2" t="s">
        <v>162</v>
      </c>
    </row>
    <row r="242" spans="1:6" x14ac:dyDescent="0.25">
      <c r="A242" s="2" t="s">
        <v>28</v>
      </c>
      <c r="B242" s="2" t="s">
        <v>29</v>
      </c>
      <c r="C242" s="4">
        <v>45901</v>
      </c>
      <c r="D242" s="4" t="str">
        <f t="shared" si="3"/>
        <v>E0000945901</v>
      </c>
      <c r="E242" s="2" t="s">
        <v>166</v>
      </c>
      <c r="F242" s="2" t="s">
        <v>162</v>
      </c>
    </row>
    <row r="243" spans="1:6" x14ac:dyDescent="0.25">
      <c r="A243" s="2" t="s">
        <v>28</v>
      </c>
      <c r="B243" s="2" t="s">
        <v>29</v>
      </c>
      <c r="C243" s="4">
        <v>45902</v>
      </c>
      <c r="D243" s="4" t="str">
        <f t="shared" si="3"/>
        <v>E0000945902</v>
      </c>
      <c r="E243" s="2" t="s">
        <v>167</v>
      </c>
      <c r="F243" s="2" t="s">
        <v>162</v>
      </c>
    </row>
    <row r="244" spans="1:6" x14ac:dyDescent="0.25">
      <c r="A244" s="2" t="s">
        <v>28</v>
      </c>
      <c r="B244" s="2" t="s">
        <v>29</v>
      </c>
      <c r="C244" s="4">
        <v>45903</v>
      </c>
      <c r="D244" s="4" t="str">
        <f t="shared" si="3"/>
        <v>E0000945903</v>
      </c>
      <c r="E244" s="2" t="s">
        <v>168</v>
      </c>
      <c r="F244" s="2" t="s">
        <v>162</v>
      </c>
    </row>
    <row r="245" spans="1:6" x14ac:dyDescent="0.25">
      <c r="A245" s="2" t="s">
        <v>28</v>
      </c>
      <c r="B245" s="2" t="s">
        <v>29</v>
      </c>
      <c r="C245" s="4">
        <v>45904</v>
      </c>
      <c r="D245" s="4" t="str">
        <f t="shared" si="3"/>
        <v>E0000945904</v>
      </c>
      <c r="E245" s="2" t="s">
        <v>169</v>
      </c>
      <c r="F245" s="2" t="s">
        <v>162</v>
      </c>
    </row>
    <row r="246" spans="1:6" x14ac:dyDescent="0.25">
      <c r="A246" s="2" t="s">
        <v>28</v>
      </c>
      <c r="B246" s="2" t="s">
        <v>29</v>
      </c>
      <c r="C246" s="4">
        <v>45905</v>
      </c>
      <c r="D246" s="4" t="str">
        <f t="shared" si="3"/>
        <v>E0000945905</v>
      </c>
      <c r="E246" s="2" t="s">
        <v>170</v>
      </c>
      <c r="F246" s="2" t="s">
        <v>162</v>
      </c>
    </row>
    <row r="247" spans="1:6" x14ac:dyDescent="0.25">
      <c r="A247" s="2" t="s">
        <v>28</v>
      </c>
      <c r="B247" s="2" t="s">
        <v>29</v>
      </c>
      <c r="C247" s="4">
        <v>45906</v>
      </c>
      <c r="D247" s="4" t="str">
        <f t="shared" si="3"/>
        <v>E0000945906</v>
      </c>
      <c r="E247" s="2" t="s">
        <v>171</v>
      </c>
      <c r="F247" s="2" t="s">
        <v>165</v>
      </c>
    </row>
    <row r="248" spans="1:6" x14ac:dyDescent="0.25">
      <c r="A248" s="2" t="s">
        <v>28</v>
      </c>
      <c r="B248" s="2" t="s">
        <v>29</v>
      </c>
      <c r="C248" s="4">
        <v>45907</v>
      </c>
      <c r="D248" s="4" t="str">
        <f t="shared" si="3"/>
        <v>E0000945907</v>
      </c>
      <c r="E248" s="2" t="s">
        <v>172</v>
      </c>
      <c r="F248" s="2" t="s">
        <v>164</v>
      </c>
    </row>
    <row r="249" spans="1:6" x14ac:dyDescent="0.25">
      <c r="A249" s="2" t="s">
        <v>28</v>
      </c>
      <c r="B249" s="2" t="s">
        <v>29</v>
      </c>
      <c r="C249" s="4">
        <v>45908</v>
      </c>
      <c r="D249" s="4" t="str">
        <f t="shared" si="3"/>
        <v>E0000945908</v>
      </c>
      <c r="E249" s="2" t="s">
        <v>166</v>
      </c>
      <c r="F249" s="2" t="s">
        <v>163</v>
      </c>
    </row>
    <row r="250" spans="1:6" x14ac:dyDescent="0.25">
      <c r="A250" s="2" t="s">
        <v>28</v>
      </c>
      <c r="B250" s="2" t="s">
        <v>29</v>
      </c>
      <c r="C250" s="4">
        <v>45909</v>
      </c>
      <c r="D250" s="4" t="str">
        <f t="shared" si="3"/>
        <v>E0000945909</v>
      </c>
      <c r="E250" s="2" t="s">
        <v>167</v>
      </c>
      <c r="F250" s="2" t="s">
        <v>165</v>
      </c>
    </row>
    <row r="251" spans="1:6" x14ac:dyDescent="0.25">
      <c r="A251" s="2" t="s">
        <v>28</v>
      </c>
      <c r="B251" s="2" t="s">
        <v>29</v>
      </c>
      <c r="C251" s="4">
        <v>45910</v>
      </c>
      <c r="D251" s="4" t="str">
        <f t="shared" si="3"/>
        <v>E0000945910</v>
      </c>
      <c r="E251" s="2" t="s">
        <v>168</v>
      </c>
      <c r="F251" s="2" t="s">
        <v>162</v>
      </c>
    </row>
    <row r="252" spans="1:6" x14ac:dyDescent="0.25">
      <c r="A252" s="2" t="s">
        <v>28</v>
      </c>
      <c r="B252" s="2" t="s">
        <v>29</v>
      </c>
      <c r="C252" s="4">
        <v>45911</v>
      </c>
      <c r="D252" s="4" t="str">
        <f t="shared" si="3"/>
        <v>E0000945911</v>
      </c>
      <c r="E252" s="2" t="s">
        <v>169</v>
      </c>
      <c r="F252" s="2" t="s">
        <v>162</v>
      </c>
    </row>
    <row r="253" spans="1:6" x14ac:dyDescent="0.25">
      <c r="A253" s="2" t="s">
        <v>28</v>
      </c>
      <c r="B253" s="2" t="s">
        <v>29</v>
      </c>
      <c r="C253" s="4">
        <v>45912</v>
      </c>
      <c r="D253" s="4" t="str">
        <f t="shared" si="3"/>
        <v>E0000945912</v>
      </c>
      <c r="E253" s="2" t="s">
        <v>170</v>
      </c>
      <c r="F253" s="2" t="s">
        <v>162</v>
      </c>
    </row>
    <row r="254" spans="1:6" x14ac:dyDescent="0.25">
      <c r="A254" s="2" t="s">
        <v>28</v>
      </c>
      <c r="B254" s="2" t="s">
        <v>29</v>
      </c>
      <c r="C254" s="4">
        <v>45913</v>
      </c>
      <c r="D254" s="4" t="str">
        <f t="shared" si="3"/>
        <v>E0000945913</v>
      </c>
      <c r="E254" s="2" t="s">
        <v>171</v>
      </c>
      <c r="F254" s="2" t="s">
        <v>162</v>
      </c>
    </row>
    <row r="255" spans="1:6" x14ac:dyDescent="0.25">
      <c r="A255" s="2" t="s">
        <v>28</v>
      </c>
      <c r="B255" s="2" t="s">
        <v>29</v>
      </c>
      <c r="C255" s="4">
        <v>45914</v>
      </c>
      <c r="D255" s="4" t="str">
        <f t="shared" si="3"/>
        <v>E0000945914</v>
      </c>
      <c r="E255" s="2" t="s">
        <v>172</v>
      </c>
      <c r="F255" s="2" t="s">
        <v>164</v>
      </c>
    </row>
    <row r="256" spans="1:6" x14ac:dyDescent="0.25">
      <c r="A256" s="2" t="s">
        <v>28</v>
      </c>
      <c r="B256" s="2" t="s">
        <v>29</v>
      </c>
      <c r="C256" s="4">
        <v>45915</v>
      </c>
      <c r="D256" s="4" t="str">
        <f t="shared" si="3"/>
        <v>E0000945915</v>
      </c>
      <c r="E256" s="2" t="s">
        <v>166</v>
      </c>
      <c r="F256" s="2" t="s">
        <v>162</v>
      </c>
    </row>
    <row r="257" spans="1:6" x14ac:dyDescent="0.25">
      <c r="A257" s="2" t="s">
        <v>28</v>
      </c>
      <c r="B257" s="2" t="s">
        <v>29</v>
      </c>
      <c r="C257" s="4">
        <v>45916</v>
      </c>
      <c r="D257" s="4" t="str">
        <f t="shared" si="3"/>
        <v>E0000945916</v>
      </c>
      <c r="E257" s="2" t="s">
        <v>167</v>
      </c>
      <c r="F257" s="2" t="s">
        <v>162</v>
      </c>
    </row>
    <row r="258" spans="1:6" x14ac:dyDescent="0.25">
      <c r="A258" s="2" t="s">
        <v>28</v>
      </c>
      <c r="B258" s="2" t="s">
        <v>29</v>
      </c>
      <c r="C258" s="4">
        <v>45917</v>
      </c>
      <c r="D258" s="4" t="str">
        <f t="shared" si="3"/>
        <v>E0000945917</v>
      </c>
      <c r="E258" s="2" t="s">
        <v>168</v>
      </c>
      <c r="F258" s="2" t="s">
        <v>163</v>
      </c>
    </row>
    <row r="259" spans="1:6" x14ac:dyDescent="0.25">
      <c r="A259" s="2" t="s">
        <v>28</v>
      </c>
      <c r="B259" s="2" t="s">
        <v>29</v>
      </c>
      <c r="C259" s="4">
        <v>45918</v>
      </c>
      <c r="D259" s="4" t="str">
        <f t="shared" ref="D259:D322" si="4">A259&amp;C259</f>
        <v>E0000945918</v>
      </c>
      <c r="E259" s="2" t="s">
        <v>169</v>
      </c>
      <c r="F259" s="2" t="s">
        <v>162</v>
      </c>
    </row>
    <row r="260" spans="1:6" x14ac:dyDescent="0.25">
      <c r="A260" s="2" t="s">
        <v>28</v>
      </c>
      <c r="B260" s="2" t="s">
        <v>29</v>
      </c>
      <c r="C260" s="4">
        <v>45919</v>
      </c>
      <c r="D260" s="4" t="str">
        <f t="shared" si="4"/>
        <v>E0000945919</v>
      </c>
      <c r="E260" s="2" t="s">
        <v>170</v>
      </c>
      <c r="F260" s="2" t="s">
        <v>162</v>
      </c>
    </row>
    <row r="261" spans="1:6" x14ac:dyDescent="0.25">
      <c r="A261" s="2" t="s">
        <v>28</v>
      </c>
      <c r="B261" s="2" t="s">
        <v>29</v>
      </c>
      <c r="C261" s="4">
        <v>45920</v>
      </c>
      <c r="D261" s="4" t="str">
        <f t="shared" si="4"/>
        <v>E0000945920</v>
      </c>
      <c r="E261" s="2" t="s">
        <v>171</v>
      </c>
      <c r="F261" s="2" t="s">
        <v>165</v>
      </c>
    </row>
    <row r="262" spans="1:6" x14ac:dyDescent="0.25">
      <c r="A262" s="2" t="s">
        <v>28</v>
      </c>
      <c r="B262" s="2" t="s">
        <v>29</v>
      </c>
      <c r="C262" s="4">
        <v>45921</v>
      </c>
      <c r="D262" s="4" t="str">
        <f t="shared" si="4"/>
        <v>E0000945921</v>
      </c>
      <c r="E262" s="2" t="s">
        <v>172</v>
      </c>
      <c r="F262" s="2" t="s">
        <v>164</v>
      </c>
    </row>
    <row r="263" spans="1:6" x14ac:dyDescent="0.25">
      <c r="A263" s="2" t="s">
        <v>28</v>
      </c>
      <c r="B263" s="2" t="s">
        <v>29</v>
      </c>
      <c r="C263" s="4">
        <v>45922</v>
      </c>
      <c r="D263" s="4" t="str">
        <f t="shared" si="4"/>
        <v>E0000945922</v>
      </c>
      <c r="E263" s="2" t="s">
        <v>166</v>
      </c>
      <c r="F263" s="2" t="s">
        <v>162</v>
      </c>
    </row>
    <row r="264" spans="1:6" x14ac:dyDescent="0.25">
      <c r="A264" s="2" t="s">
        <v>28</v>
      </c>
      <c r="B264" s="2" t="s">
        <v>29</v>
      </c>
      <c r="C264" s="4">
        <v>45923</v>
      </c>
      <c r="D264" s="4" t="str">
        <f t="shared" si="4"/>
        <v>E0000945923</v>
      </c>
      <c r="E264" s="2" t="s">
        <v>167</v>
      </c>
      <c r="F264" s="2" t="s">
        <v>162</v>
      </c>
    </row>
    <row r="265" spans="1:6" x14ac:dyDescent="0.25">
      <c r="A265" s="2" t="s">
        <v>28</v>
      </c>
      <c r="B265" s="2" t="s">
        <v>29</v>
      </c>
      <c r="C265" s="4">
        <v>45924</v>
      </c>
      <c r="D265" s="4" t="str">
        <f t="shared" si="4"/>
        <v>E0000945924</v>
      </c>
      <c r="E265" s="2" t="s">
        <v>168</v>
      </c>
      <c r="F265" s="2" t="s">
        <v>162</v>
      </c>
    </row>
    <row r="266" spans="1:6" x14ac:dyDescent="0.25">
      <c r="A266" s="2" t="s">
        <v>28</v>
      </c>
      <c r="B266" s="2" t="s">
        <v>29</v>
      </c>
      <c r="C266" s="4">
        <v>45925</v>
      </c>
      <c r="D266" s="4" t="str">
        <f t="shared" si="4"/>
        <v>E0000945925</v>
      </c>
      <c r="E266" s="2" t="s">
        <v>169</v>
      </c>
      <c r="F266" s="2" t="s">
        <v>162</v>
      </c>
    </row>
    <row r="267" spans="1:6" x14ac:dyDescent="0.25">
      <c r="A267" s="2" t="s">
        <v>28</v>
      </c>
      <c r="B267" s="2" t="s">
        <v>29</v>
      </c>
      <c r="C267" s="4">
        <v>45926</v>
      </c>
      <c r="D267" s="4" t="str">
        <f t="shared" si="4"/>
        <v>E0000945926</v>
      </c>
      <c r="E267" s="2" t="s">
        <v>170</v>
      </c>
      <c r="F267" s="2" t="s">
        <v>162</v>
      </c>
    </row>
    <row r="268" spans="1:6" x14ac:dyDescent="0.25">
      <c r="A268" s="2" t="s">
        <v>28</v>
      </c>
      <c r="B268" s="2" t="s">
        <v>29</v>
      </c>
      <c r="C268" s="4">
        <v>45927</v>
      </c>
      <c r="D268" s="4" t="str">
        <f t="shared" si="4"/>
        <v>E0000945927</v>
      </c>
      <c r="E268" s="2" t="s">
        <v>171</v>
      </c>
      <c r="F268" s="2" t="s">
        <v>162</v>
      </c>
    </row>
    <row r="269" spans="1:6" x14ac:dyDescent="0.25">
      <c r="A269" s="2" t="s">
        <v>28</v>
      </c>
      <c r="B269" s="2" t="s">
        <v>29</v>
      </c>
      <c r="C269" s="4">
        <v>45928</v>
      </c>
      <c r="D269" s="4" t="str">
        <f t="shared" si="4"/>
        <v>E0000945928</v>
      </c>
      <c r="E269" s="2" t="s">
        <v>172</v>
      </c>
      <c r="F269" s="2" t="s">
        <v>164</v>
      </c>
    </row>
    <row r="270" spans="1:6" x14ac:dyDescent="0.25">
      <c r="A270" s="2" t="s">
        <v>28</v>
      </c>
      <c r="B270" s="2" t="s">
        <v>29</v>
      </c>
      <c r="C270" s="4">
        <v>45929</v>
      </c>
      <c r="D270" s="4" t="str">
        <f t="shared" si="4"/>
        <v>E0000945929</v>
      </c>
      <c r="E270" s="2" t="s">
        <v>166</v>
      </c>
      <c r="F270" s="2" t="s">
        <v>163</v>
      </c>
    </row>
    <row r="271" spans="1:6" x14ac:dyDescent="0.25">
      <c r="A271" s="2" t="s">
        <v>28</v>
      </c>
      <c r="B271" s="2" t="s">
        <v>29</v>
      </c>
      <c r="C271" s="4">
        <v>45930</v>
      </c>
      <c r="D271" s="4" t="str">
        <f t="shared" si="4"/>
        <v>E0000945930</v>
      </c>
      <c r="E271" s="2" t="s">
        <v>167</v>
      </c>
      <c r="F271" s="2" t="s">
        <v>162</v>
      </c>
    </row>
    <row r="272" spans="1:6" x14ac:dyDescent="0.25">
      <c r="A272" s="2" t="s">
        <v>32</v>
      </c>
      <c r="B272" s="2" t="s">
        <v>33</v>
      </c>
      <c r="C272" s="4">
        <v>45901</v>
      </c>
      <c r="D272" s="4" t="str">
        <f t="shared" si="4"/>
        <v>E0001045901</v>
      </c>
      <c r="E272" s="2" t="s">
        <v>166</v>
      </c>
      <c r="F272" s="2" t="s">
        <v>165</v>
      </c>
    </row>
    <row r="273" spans="1:6" x14ac:dyDescent="0.25">
      <c r="A273" s="2" t="s">
        <v>32</v>
      </c>
      <c r="B273" s="2" t="s">
        <v>33</v>
      </c>
      <c r="C273" s="4">
        <v>45902</v>
      </c>
      <c r="D273" s="4" t="str">
        <f t="shared" si="4"/>
        <v>E0001045902</v>
      </c>
      <c r="E273" s="2" t="s">
        <v>167</v>
      </c>
      <c r="F273" s="2" t="s">
        <v>162</v>
      </c>
    </row>
    <row r="274" spans="1:6" x14ac:dyDescent="0.25">
      <c r="A274" s="2" t="s">
        <v>32</v>
      </c>
      <c r="B274" s="2" t="s">
        <v>33</v>
      </c>
      <c r="C274" s="4">
        <v>45903</v>
      </c>
      <c r="D274" s="4" t="str">
        <f t="shared" si="4"/>
        <v>E0001045903</v>
      </c>
      <c r="E274" s="2" t="s">
        <v>168</v>
      </c>
      <c r="F274" s="2" t="s">
        <v>165</v>
      </c>
    </row>
    <row r="275" spans="1:6" x14ac:dyDescent="0.25">
      <c r="A275" s="2" t="s">
        <v>32</v>
      </c>
      <c r="B275" s="2" t="s">
        <v>33</v>
      </c>
      <c r="C275" s="4">
        <v>45904</v>
      </c>
      <c r="D275" s="4" t="str">
        <f t="shared" si="4"/>
        <v>E0001045904</v>
      </c>
      <c r="E275" s="2" t="s">
        <v>169</v>
      </c>
      <c r="F275" s="2" t="s">
        <v>162</v>
      </c>
    </row>
    <row r="276" spans="1:6" x14ac:dyDescent="0.25">
      <c r="A276" s="2" t="s">
        <v>32</v>
      </c>
      <c r="B276" s="2" t="s">
        <v>33</v>
      </c>
      <c r="C276" s="4">
        <v>45905</v>
      </c>
      <c r="D276" s="4" t="str">
        <f t="shared" si="4"/>
        <v>E0001045905</v>
      </c>
      <c r="E276" s="2" t="s">
        <v>170</v>
      </c>
      <c r="F276" s="2" t="s">
        <v>163</v>
      </c>
    </row>
    <row r="277" spans="1:6" x14ac:dyDescent="0.25">
      <c r="A277" s="2" t="s">
        <v>32</v>
      </c>
      <c r="B277" s="2" t="s">
        <v>33</v>
      </c>
      <c r="C277" s="4">
        <v>45906</v>
      </c>
      <c r="D277" s="4" t="str">
        <f t="shared" si="4"/>
        <v>E0001045906</v>
      </c>
      <c r="E277" s="2" t="s">
        <v>171</v>
      </c>
      <c r="F277" s="2" t="s">
        <v>165</v>
      </c>
    </row>
    <row r="278" spans="1:6" x14ac:dyDescent="0.25">
      <c r="A278" s="2" t="s">
        <v>32</v>
      </c>
      <c r="B278" s="2" t="s">
        <v>33</v>
      </c>
      <c r="C278" s="4">
        <v>45907</v>
      </c>
      <c r="D278" s="4" t="str">
        <f t="shared" si="4"/>
        <v>E0001045907</v>
      </c>
      <c r="E278" s="2" t="s">
        <v>172</v>
      </c>
      <c r="F278" s="2" t="s">
        <v>164</v>
      </c>
    </row>
    <row r="279" spans="1:6" x14ac:dyDescent="0.25">
      <c r="A279" s="2" t="s">
        <v>32</v>
      </c>
      <c r="B279" s="2" t="s">
        <v>33</v>
      </c>
      <c r="C279" s="4">
        <v>45908</v>
      </c>
      <c r="D279" s="4" t="str">
        <f t="shared" si="4"/>
        <v>E0001045908</v>
      </c>
      <c r="E279" s="2" t="s">
        <v>166</v>
      </c>
      <c r="F279" s="2" t="s">
        <v>162</v>
      </c>
    </row>
    <row r="280" spans="1:6" x14ac:dyDescent="0.25">
      <c r="A280" s="2" t="s">
        <v>32</v>
      </c>
      <c r="B280" s="2" t="s">
        <v>33</v>
      </c>
      <c r="C280" s="4">
        <v>45909</v>
      </c>
      <c r="D280" s="4" t="str">
        <f t="shared" si="4"/>
        <v>E0001045909</v>
      </c>
      <c r="E280" s="2" t="s">
        <v>167</v>
      </c>
      <c r="F280" s="2" t="s">
        <v>162</v>
      </c>
    </row>
    <row r="281" spans="1:6" x14ac:dyDescent="0.25">
      <c r="A281" s="2" t="s">
        <v>32</v>
      </c>
      <c r="B281" s="2" t="s">
        <v>33</v>
      </c>
      <c r="C281" s="4">
        <v>45910</v>
      </c>
      <c r="D281" s="4" t="str">
        <f t="shared" si="4"/>
        <v>E0001045910</v>
      </c>
      <c r="E281" s="2" t="s">
        <v>168</v>
      </c>
      <c r="F281" s="2" t="s">
        <v>162</v>
      </c>
    </row>
    <row r="282" spans="1:6" x14ac:dyDescent="0.25">
      <c r="A282" s="2" t="s">
        <v>32</v>
      </c>
      <c r="B282" s="2" t="s">
        <v>33</v>
      </c>
      <c r="C282" s="4">
        <v>45911</v>
      </c>
      <c r="D282" s="4" t="str">
        <f t="shared" si="4"/>
        <v>E0001045911</v>
      </c>
      <c r="E282" s="2" t="s">
        <v>169</v>
      </c>
      <c r="F282" s="2" t="s">
        <v>162</v>
      </c>
    </row>
    <row r="283" spans="1:6" x14ac:dyDescent="0.25">
      <c r="A283" s="2" t="s">
        <v>32</v>
      </c>
      <c r="B283" s="2" t="s">
        <v>33</v>
      </c>
      <c r="C283" s="4">
        <v>45912</v>
      </c>
      <c r="D283" s="4" t="str">
        <f t="shared" si="4"/>
        <v>E0001045912</v>
      </c>
      <c r="E283" s="2" t="s">
        <v>170</v>
      </c>
      <c r="F283" s="2" t="s">
        <v>162</v>
      </c>
    </row>
    <row r="284" spans="1:6" x14ac:dyDescent="0.25">
      <c r="A284" s="2" t="s">
        <v>32</v>
      </c>
      <c r="B284" s="2" t="s">
        <v>33</v>
      </c>
      <c r="C284" s="4">
        <v>45913</v>
      </c>
      <c r="D284" s="4" t="str">
        <f t="shared" si="4"/>
        <v>E0001045913</v>
      </c>
      <c r="E284" s="2" t="s">
        <v>171</v>
      </c>
      <c r="F284" s="2" t="s">
        <v>162</v>
      </c>
    </row>
    <row r="285" spans="1:6" x14ac:dyDescent="0.25">
      <c r="A285" s="2" t="s">
        <v>32</v>
      </c>
      <c r="B285" s="2" t="s">
        <v>33</v>
      </c>
      <c r="C285" s="4">
        <v>45914</v>
      </c>
      <c r="D285" s="4" t="str">
        <f t="shared" si="4"/>
        <v>E0001045914</v>
      </c>
      <c r="E285" s="2" t="s">
        <v>172</v>
      </c>
      <c r="F285" s="2" t="s">
        <v>164</v>
      </c>
    </row>
    <row r="286" spans="1:6" x14ac:dyDescent="0.25">
      <c r="A286" s="2" t="s">
        <v>32</v>
      </c>
      <c r="B286" s="2" t="s">
        <v>33</v>
      </c>
      <c r="C286" s="4">
        <v>45915</v>
      </c>
      <c r="D286" s="4" t="str">
        <f t="shared" si="4"/>
        <v>E0001045915</v>
      </c>
      <c r="E286" s="2" t="s">
        <v>166</v>
      </c>
      <c r="F286" s="2" t="s">
        <v>163</v>
      </c>
    </row>
    <row r="287" spans="1:6" x14ac:dyDescent="0.25">
      <c r="A287" s="2" t="s">
        <v>32</v>
      </c>
      <c r="B287" s="2" t="s">
        <v>33</v>
      </c>
      <c r="C287" s="4">
        <v>45916</v>
      </c>
      <c r="D287" s="4" t="str">
        <f t="shared" si="4"/>
        <v>E0001045916</v>
      </c>
      <c r="E287" s="2" t="s">
        <v>167</v>
      </c>
      <c r="F287" s="2" t="s">
        <v>162</v>
      </c>
    </row>
    <row r="288" spans="1:6" x14ac:dyDescent="0.25">
      <c r="A288" s="2" t="s">
        <v>32</v>
      </c>
      <c r="B288" s="2" t="s">
        <v>33</v>
      </c>
      <c r="C288" s="4">
        <v>45917</v>
      </c>
      <c r="D288" s="4" t="str">
        <f t="shared" si="4"/>
        <v>E0001045917</v>
      </c>
      <c r="E288" s="2" t="s">
        <v>168</v>
      </c>
      <c r="F288" s="2" t="s">
        <v>163</v>
      </c>
    </row>
    <row r="289" spans="1:6" x14ac:dyDescent="0.25">
      <c r="A289" s="2" t="s">
        <v>32</v>
      </c>
      <c r="B289" s="2" t="s">
        <v>33</v>
      </c>
      <c r="C289" s="4">
        <v>45918</v>
      </c>
      <c r="D289" s="4" t="str">
        <f t="shared" si="4"/>
        <v>E0001045918</v>
      </c>
      <c r="E289" s="2" t="s">
        <v>169</v>
      </c>
      <c r="F289" s="2" t="s">
        <v>162</v>
      </c>
    </row>
    <row r="290" spans="1:6" x14ac:dyDescent="0.25">
      <c r="A290" s="2" t="s">
        <v>32</v>
      </c>
      <c r="B290" s="2" t="s">
        <v>33</v>
      </c>
      <c r="C290" s="4">
        <v>45919</v>
      </c>
      <c r="D290" s="4" t="str">
        <f t="shared" si="4"/>
        <v>E0001045919</v>
      </c>
      <c r="E290" s="2" t="s">
        <v>170</v>
      </c>
      <c r="F290" s="2" t="s">
        <v>162</v>
      </c>
    </row>
    <row r="291" spans="1:6" x14ac:dyDescent="0.25">
      <c r="A291" s="2" t="s">
        <v>32</v>
      </c>
      <c r="B291" s="2" t="s">
        <v>33</v>
      </c>
      <c r="C291" s="4">
        <v>45920</v>
      </c>
      <c r="D291" s="4" t="str">
        <f t="shared" si="4"/>
        <v>E0001045920</v>
      </c>
      <c r="E291" s="2" t="s">
        <v>171</v>
      </c>
      <c r="F291" s="2" t="s">
        <v>162</v>
      </c>
    </row>
    <row r="292" spans="1:6" x14ac:dyDescent="0.25">
      <c r="A292" s="2" t="s">
        <v>32</v>
      </c>
      <c r="B292" s="2" t="s">
        <v>33</v>
      </c>
      <c r="C292" s="4">
        <v>45921</v>
      </c>
      <c r="D292" s="4" t="str">
        <f t="shared" si="4"/>
        <v>E0001045921</v>
      </c>
      <c r="E292" s="2" t="s">
        <v>172</v>
      </c>
      <c r="F292" s="2" t="s">
        <v>164</v>
      </c>
    </row>
    <row r="293" spans="1:6" x14ac:dyDescent="0.25">
      <c r="A293" s="2" t="s">
        <v>32</v>
      </c>
      <c r="B293" s="2" t="s">
        <v>33</v>
      </c>
      <c r="C293" s="4">
        <v>45922</v>
      </c>
      <c r="D293" s="4" t="str">
        <f t="shared" si="4"/>
        <v>E0001045922</v>
      </c>
      <c r="E293" s="2" t="s">
        <v>166</v>
      </c>
      <c r="F293" s="2" t="s">
        <v>165</v>
      </c>
    </row>
    <row r="294" spans="1:6" x14ac:dyDescent="0.25">
      <c r="A294" s="2" t="s">
        <v>32</v>
      </c>
      <c r="B294" s="2" t="s">
        <v>33</v>
      </c>
      <c r="C294" s="4">
        <v>45923</v>
      </c>
      <c r="D294" s="4" t="str">
        <f t="shared" si="4"/>
        <v>E0001045923</v>
      </c>
      <c r="E294" s="2" t="s">
        <v>167</v>
      </c>
      <c r="F294" s="2" t="s">
        <v>162</v>
      </c>
    </row>
    <row r="295" spans="1:6" x14ac:dyDescent="0.25">
      <c r="A295" s="2" t="s">
        <v>32</v>
      </c>
      <c r="B295" s="2" t="s">
        <v>33</v>
      </c>
      <c r="C295" s="4">
        <v>45924</v>
      </c>
      <c r="D295" s="4" t="str">
        <f t="shared" si="4"/>
        <v>E0001045924</v>
      </c>
      <c r="E295" s="2" t="s">
        <v>168</v>
      </c>
      <c r="F295" s="2" t="s">
        <v>162</v>
      </c>
    </row>
    <row r="296" spans="1:6" x14ac:dyDescent="0.25">
      <c r="A296" s="2" t="s">
        <v>32</v>
      </c>
      <c r="B296" s="2" t="s">
        <v>33</v>
      </c>
      <c r="C296" s="4">
        <v>45925</v>
      </c>
      <c r="D296" s="4" t="str">
        <f t="shared" si="4"/>
        <v>E0001045925</v>
      </c>
      <c r="E296" s="2" t="s">
        <v>169</v>
      </c>
      <c r="F296" s="2" t="s">
        <v>162</v>
      </c>
    </row>
    <row r="297" spans="1:6" x14ac:dyDescent="0.25">
      <c r="A297" s="2" t="s">
        <v>32</v>
      </c>
      <c r="B297" s="2" t="s">
        <v>33</v>
      </c>
      <c r="C297" s="4">
        <v>45926</v>
      </c>
      <c r="D297" s="4" t="str">
        <f t="shared" si="4"/>
        <v>E0001045926</v>
      </c>
      <c r="E297" s="2" t="s">
        <v>170</v>
      </c>
      <c r="F297" s="2" t="s">
        <v>162</v>
      </c>
    </row>
    <row r="298" spans="1:6" x14ac:dyDescent="0.25">
      <c r="A298" s="2" t="s">
        <v>32</v>
      </c>
      <c r="B298" s="2" t="s">
        <v>33</v>
      </c>
      <c r="C298" s="4">
        <v>45927</v>
      </c>
      <c r="D298" s="4" t="str">
        <f t="shared" si="4"/>
        <v>E0001045927</v>
      </c>
      <c r="E298" s="2" t="s">
        <v>171</v>
      </c>
      <c r="F298" s="2" t="s">
        <v>162</v>
      </c>
    </row>
    <row r="299" spans="1:6" x14ac:dyDescent="0.25">
      <c r="A299" s="2" t="s">
        <v>32</v>
      </c>
      <c r="B299" s="2" t="s">
        <v>33</v>
      </c>
      <c r="C299" s="4">
        <v>45928</v>
      </c>
      <c r="D299" s="4" t="str">
        <f t="shared" si="4"/>
        <v>E0001045928</v>
      </c>
      <c r="E299" s="2" t="s">
        <v>172</v>
      </c>
      <c r="F299" s="2" t="s">
        <v>164</v>
      </c>
    </row>
    <row r="300" spans="1:6" x14ac:dyDescent="0.25">
      <c r="A300" s="2" t="s">
        <v>32</v>
      </c>
      <c r="B300" s="2" t="s">
        <v>33</v>
      </c>
      <c r="C300" s="4">
        <v>45929</v>
      </c>
      <c r="D300" s="4" t="str">
        <f t="shared" si="4"/>
        <v>E0001045929</v>
      </c>
      <c r="E300" s="2" t="s">
        <v>166</v>
      </c>
      <c r="F300" s="2" t="s">
        <v>163</v>
      </c>
    </row>
    <row r="301" spans="1:6" x14ac:dyDescent="0.25">
      <c r="A301" s="2" t="s">
        <v>32</v>
      </c>
      <c r="B301" s="2" t="s">
        <v>33</v>
      </c>
      <c r="C301" s="4">
        <v>45930</v>
      </c>
      <c r="D301" s="4" t="str">
        <f t="shared" si="4"/>
        <v>E0001045930</v>
      </c>
      <c r="E301" s="2" t="s">
        <v>167</v>
      </c>
      <c r="F301" s="2" t="s">
        <v>162</v>
      </c>
    </row>
    <row r="302" spans="1:6" x14ac:dyDescent="0.25">
      <c r="A302" s="2" t="s">
        <v>34</v>
      </c>
      <c r="B302" s="2" t="s">
        <v>35</v>
      </c>
      <c r="C302" s="4">
        <v>45901</v>
      </c>
      <c r="D302" s="4" t="str">
        <f t="shared" si="4"/>
        <v>E0001145901</v>
      </c>
      <c r="E302" s="2" t="s">
        <v>166</v>
      </c>
      <c r="F302" s="2" t="s">
        <v>162</v>
      </c>
    </row>
    <row r="303" spans="1:6" x14ac:dyDescent="0.25">
      <c r="A303" s="2" t="s">
        <v>34</v>
      </c>
      <c r="B303" s="2" t="s">
        <v>35</v>
      </c>
      <c r="C303" s="4">
        <v>45902</v>
      </c>
      <c r="D303" s="4" t="str">
        <f t="shared" si="4"/>
        <v>E0001145902</v>
      </c>
      <c r="E303" s="2" t="s">
        <v>167</v>
      </c>
      <c r="F303" s="2" t="s">
        <v>162</v>
      </c>
    </row>
    <row r="304" spans="1:6" x14ac:dyDescent="0.25">
      <c r="A304" s="2" t="s">
        <v>34</v>
      </c>
      <c r="B304" s="2" t="s">
        <v>35</v>
      </c>
      <c r="C304" s="4">
        <v>45903</v>
      </c>
      <c r="D304" s="4" t="str">
        <f t="shared" si="4"/>
        <v>E0001145903</v>
      </c>
      <c r="E304" s="2" t="s">
        <v>168</v>
      </c>
      <c r="F304" s="2" t="s">
        <v>162</v>
      </c>
    </row>
    <row r="305" spans="1:6" x14ac:dyDescent="0.25">
      <c r="A305" s="2" t="s">
        <v>34</v>
      </c>
      <c r="B305" s="2" t="s">
        <v>35</v>
      </c>
      <c r="C305" s="4">
        <v>45904</v>
      </c>
      <c r="D305" s="4" t="str">
        <f t="shared" si="4"/>
        <v>E0001145904</v>
      </c>
      <c r="E305" s="2" t="s">
        <v>169</v>
      </c>
      <c r="F305" s="2" t="s">
        <v>162</v>
      </c>
    </row>
    <row r="306" spans="1:6" x14ac:dyDescent="0.25">
      <c r="A306" s="2" t="s">
        <v>34</v>
      </c>
      <c r="B306" s="2" t="s">
        <v>35</v>
      </c>
      <c r="C306" s="4">
        <v>45905</v>
      </c>
      <c r="D306" s="4" t="str">
        <f t="shared" si="4"/>
        <v>E0001145905</v>
      </c>
      <c r="E306" s="2" t="s">
        <v>170</v>
      </c>
      <c r="F306" s="2" t="s">
        <v>162</v>
      </c>
    </row>
    <row r="307" spans="1:6" x14ac:dyDescent="0.25">
      <c r="A307" s="2" t="s">
        <v>34</v>
      </c>
      <c r="B307" s="2" t="s">
        <v>35</v>
      </c>
      <c r="C307" s="4">
        <v>45906</v>
      </c>
      <c r="D307" s="4" t="str">
        <f t="shared" si="4"/>
        <v>E0001145906</v>
      </c>
      <c r="E307" s="2" t="s">
        <v>171</v>
      </c>
      <c r="F307" s="2" t="s">
        <v>163</v>
      </c>
    </row>
    <row r="308" spans="1:6" x14ac:dyDescent="0.25">
      <c r="A308" s="2" t="s">
        <v>34</v>
      </c>
      <c r="B308" s="2" t="s">
        <v>35</v>
      </c>
      <c r="C308" s="4">
        <v>45907</v>
      </c>
      <c r="D308" s="4" t="str">
        <f t="shared" si="4"/>
        <v>E0001145907</v>
      </c>
      <c r="E308" s="2" t="s">
        <v>172</v>
      </c>
      <c r="F308" s="2" t="s">
        <v>164</v>
      </c>
    </row>
    <row r="309" spans="1:6" x14ac:dyDescent="0.25">
      <c r="A309" s="2" t="s">
        <v>34</v>
      </c>
      <c r="B309" s="2" t="s">
        <v>35</v>
      </c>
      <c r="C309" s="4">
        <v>45908</v>
      </c>
      <c r="D309" s="4" t="str">
        <f t="shared" si="4"/>
        <v>E0001145908</v>
      </c>
      <c r="E309" s="2" t="s">
        <v>166</v>
      </c>
      <c r="F309" s="2" t="s">
        <v>162</v>
      </c>
    </row>
    <row r="310" spans="1:6" x14ac:dyDescent="0.25">
      <c r="A310" s="2" t="s">
        <v>34</v>
      </c>
      <c r="B310" s="2" t="s">
        <v>35</v>
      </c>
      <c r="C310" s="4">
        <v>45909</v>
      </c>
      <c r="D310" s="4" t="str">
        <f t="shared" si="4"/>
        <v>E0001145909</v>
      </c>
      <c r="E310" s="2" t="s">
        <v>167</v>
      </c>
      <c r="F310" s="2" t="s">
        <v>162</v>
      </c>
    </row>
    <row r="311" spans="1:6" x14ac:dyDescent="0.25">
      <c r="A311" s="2" t="s">
        <v>34</v>
      </c>
      <c r="B311" s="2" t="s">
        <v>35</v>
      </c>
      <c r="C311" s="4">
        <v>45910</v>
      </c>
      <c r="D311" s="4" t="str">
        <f t="shared" si="4"/>
        <v>E0001145910</v>
      </c>
      <c r="E311" s="2" t="s">
        <v>168</v>
      </c>
      <c r="F311" s="2" t="s">
        <v>162</v>
      </c>
    </row>
    <row r="312" spans="1:6" x14ac:dyDescent="0.25">
      <c r="A312" s="2" t="s">
        <v>34</v>
      </c>
      <c r="B312" s="2" t="s">
        <v>35</v>
      </c>
      <c r="C312" s="4">
        <v>45911</v>
      </c>
      <c r="D312" s="4" t="str">
        <f t="shared" si="4"/>
        <v>E0001145911</v>
      </c>
      <c r="E312" s="2" t="s">
        <v>169</v>
      </c>
      <c r="F312" s="2" t="s">
        <v>163</v>
      </c>
    </row>
    <row r="313" spans="1:6" x14ac:dyDescent="0.25">
      <c r="A313" s="2" t="s">
        <v>34</v>
      </c>
      <c r="B313" s="2" t="s">
        <v>35</v>
      </c>
      <c r="C313" s="4">
        <v>45912</v>
      </c>
      <c r="D313" s="4" t="str">
        <f t="shared" si="4"/>
        <v>E0001145912</v>
      </c>
      <c r="E313" s="2" t="s">
        <v>170</v>
      </c>
      <c r="F313" s="2" t="s">
        <v>162</v>
      </c>
    </row>
    <row r="314" spans="1:6" x14ac:dyDescent="0.25">
      <c r="A314" s="2" t="s">
        <v>34</v>
      </c>
      <c r="B314" s="2" t="s">
        <v>35</v>
      </c>
      <c r="C314" s="4">
        <v>45913</v>
      </c>
      <c r="D314" s="4" t="str">
        <f t="shared" si="4"/>
        <v>E0001145913</v>
      </c>
      <c r="E314" s="2" t="s">
        <v>171</v>
      </c>
      <c r="F314" s="2" t="s">
        <v>162</v>
      </c>
    </row>
    <row r="315" spans="1:6" x14ac:dyDescent="0.25">
      <c r="A315" s="2" t="s">
        <v>34</v>
      </c>
      <c r="B315" s="2" t="s">
        <v>35</v>
      </c>
      <c r="C315" s="4">
        <v>45914</v>
      </c>
      <c r="D315" s="4" t="str">
        <f t="shared" si="4"/>
        <v>E0001145914</v>
      </c>
      <c r="E315" s="2" t="s">
        <v>172</v>
      </c>
      <c r="F315" s="2" t="s">
        <v>164</v>
      </c>
    </row>
    <row r="316" spans="1:6" x14ac:dyDescent="0.25">
      <c r="A316" s="2" t="s">
        <v>34</v>
      </c>
      <c r="B316" s="2" t="s">
        <v>35</v>
      </c>
      <c r="C316" s="4">
        <v>45915</v>
      </c>
      <c r="D316" s="4" t="str">
        <f t="shared" si="4"/>
        <v>E0001145915</v>
      </c>
      <c r="E316" s="2" t="s">
        <v>166</v>
      </c>
      <c r="F316" s="2" t="s">
        <v>165</v>
      </c>
    </row>
    <row r="317" spans="1:6" x14ac:dyDescent="0.25">
      <c r="A317" s="2" t="s">
        <v>34</v>
      </c>
      <c r="B317" s="2" t="s">
        <v>35</v>
      </c>
      <c r="C317" s="4">
        <v>45916</v>
      </c>
      <c r="D317" s="4" t="str">
        <f t="shared" si="4"/>
        <v>E0001145916</v>
      </c>
      <c r="E317" s="2" t="s">
        <v>167</v>
      </c>
      <c r="F317" s="2" t="s">
        <v>162</v>
      </c>
    </row>
    <row r="318" spans="1:6" x14ac:dyDescent="0.25">
      <c r="A318" s="2" t="s">
        <v>34</v>
      </c>
      <c r="B318" s="2" t="s">
        <v>35</v>
      </c>
      <c r="C318" s="4">
        <v>45917</v>
      </c>
      <c r="D318" s="4" t="str">
        <f t="shared" si="4"/>
        <v>E0001145917</v>
      </c>
      <c r="E318" s="2" t="s">
        <v>168</v>
      </c>
      <c r="F318" s="2" t="s">
        <v>162</v>
      </c>
    </row>
    <row r="319" spans="1:6" x14ac:dyDescent="0.25">
      <c r="A319" s="2" t="s">
        <v>34</v>
      </c>
      <c r="B319" s="2" t="s">
        <v>35</v>
      </c>
      <c r="C319" s="4">
        <v>45918</v>
      </c>
      <c r="D319" s="4" t="str">
        <f t="shared" si="4"/>
        <v>E0001145918</v>
      </c>
      <c r="E319" s="2" t="s">
        <v>169</v>
      </c>
      <c r="F319" s="2" t="s">
        <v>162</v>
      </c>
    </row>
    <row r="320" spans="1:6" x14ac:dyDescent="0.25">
      <c r="A320" s="2" t="s">
        <v>34</v>
      </c>
      <c r="B320" s="2" t="s">
        <v>35</v>
      </c>
      <c r="C320" s="4">
        <v>45919</v>
      </c>
      <c r="D320" s="4" t="str">
        <f t="shared" si="4"/>
        <v>E0001145919</v>
      </c>
      <c r="E320" s="2" t="s">
        <v>170</v>
      </c>
      <c r="F320" s="2" t="s">
        <v>162</v>
      </c>
    </row>
    <row r="321" spans="1:6" x14ac:dyDescent="0.25">
      <c r="A321" s="2" t="s">
        <v>34</v>
      </c>
      <c r="B321" s="2" t="s">
        <v>35</v>
      </c>
      <c r="C321" s="4">
        <v>45920</v>
      </c>
      <c r="D321" s="4" t="str">
        <f t="shared" si="4"/>
        <v>E0001145920</v>
      </c>
      <c r="E321" s="2" t="s">
        <v>171</v>
      </c>
      <c r="F321" s="2" t="s">
        <v>165</v>
      </c>
    </row>
    <row r="322" spans="1:6" x14ac:dyDescent="0.25">
      <c r="A322" s="2" t="s">
        <v>34</v>
      </c>
      <c r="B322" s="2" t="s">
        <v>35</v>
      </c>
      <c r="C322" s="4">
        <v>45921</v>
      </c>
      <c r="D322" s="4" t="str">
        <f t="shared" si="4"/>
        <v>E0001145921</v>
      </c>
      <c r="E322" s="2" t="s">
        <v>172</v>
      </c>
      <c r="F322" s="2" t="s">
        <v>164</v>
      </c>
    </row>
    <row r="323" spans="1:6" x14ac:dyDescent="0.25">
      <c r="A323" s="2" t="s">
        <v>34</v>
      </c>
      <c r="B323" s="2" t="s">
        <v>35</v>
      </c>
      <c r="C323" s="4">
        <v>45922</v>
      </c>
      <c r="D323" s="4" t="str">
        <f t="shared" ref="D323:D386" si="5">A323&amp;C323</f>
        <v>E0001145922</v>
      </c>
      <c r="E323" s="2" t="s">
        <v>166</v>
      </c>
      <c r="F323" s="2" t="s">
        <v>162</v>
      </c>
    </row>
    <row r="324" spans="1:6" x14ac:dyDescent="0.25">
      <c r="A324" s="2" t="s">
        <v>34</v>
      </c>
      <c r="B324" s="2" t="s">
        <v>35</v>
      </c>
      <c r="C324" s="4">
        <v>45923</v>
      </c>
      <c r="D324" s="4" t="str">
        <f t="shared" si="5"/>
        <v>E0001145923</v>
      </c>
      <c r="E324" s="2" t="s">
        <v>167</v>
      </c>
      <c r="F324" s="2" t="s">
        <v>163</v>
      </c>
    </row>
    <row r="325" spans="1:6" x14ac:dyDescent="0.25">
      <c r="A325" s="2" t="s">
        <v>34</v>
      </c>
      <c r="B325" s="2" t="s">
        <v>35</v>
      </c>
      <c r="C325" s="4">
        <v>45924</v>
      </c>
      <c r="D325" s="4" t="str">
        <f t="shared" si="5"/>
        <v>E0001145924</v>
      </c>
      <c r="E325" s="2" t="s">
        <v>168</v>
      </c>
      <c r="F325" s="2" t="s">
        <v>162</v>
      </c>
    </row>
    <row r="326" spans="1:6" x14ac:dyDescent="0.25">
      <c r="A326" s="2" t="s">
        <v>34</v>
      </c>
      <c r="B326" s="2" t="s">
        <v>35</v>
      </c>
      <c r="C326" s="4">
        <v>45925</v>
      </c>
      <c r="D326" s="4" t="str">
        <f t="shared" si="5"/>
        <v>E0001145925</v>
      </c>
      <c r="E326" s="2" t="s">
        <v>169</v>
      </c>
      <c r="F326" s="2" t="s">
        <v>162</v>
      </c>
    </row>
    <row r="327" spans="1:6" x14ac:dyDescent="0.25">
      <c r="A327" s="2" t="s">
        <v>34</v>
      </c>
      <c r="B327" s="2" t="s">
        <v>35</v>
      </c>
      <c r="C327" s="4">
        <v>45926</v>
      </c>
      <c r="D327" s="4" t="str">
        <f t="shared" si="5"/>
        <v>E0001145926</v>
      </c>
      <c r="E327" s="2" t="s">
        <v>170</v>
      </c>
      <c r="F327" s="2" t="s">
        <v>163</v>
      </c>
    </row>
    <row r="328" spans="1:6" x14ac:dyDescent="0.25">
      <c r="A328" s="2" t="s">
        <v>34</v>
      </c>
      <c r="B328" s="2" t="s">
        <v>35</v>
      </c>
      <c r="C328" s="4">
        <v>45927</v>
      </c>
      <c r="D328" s="4" t="str">
        <f t="shared" si="5"/>
        <v>E0001145927</v>
      </c>
      <c r="E328" s="2" t="s">
        <v>171</v>
      </c>
      <c r="F328" s="2" t="s">
        <v>162</v>
      </c>
    </row>
    <row r="329" spans="1:6" x14ac:dyDescent="0.25">
      <c r="A329" s="2" t="s">
        <v>34</v>
      </c>
      <c r="B329" s="2" t="s">
        <v>35</v>
      </c>
      <c r="C329" s="4">
        <v>45928</v>
      </c>
      <c r="D329" s="4" t="str">
        <f t="shared" si="5"/>
        <v>E0001145928</v>
      </c>
      <c r="E329" s="2" t="s">
        <v>172</v>
      </c>
      <c r="F329" s="2" t="s">
        <v>164</v>
      </c>
    </row>
    <row r="330" spans="1:6" x14ac:dyDescent="0.25">
      <c r="A330" s="2" t="s">
        <v>34</v>
      </c>
      <c r="B330" s="2" t="s">
        <v>35</v>
      </c>
      <c r="C330" s="4">
        <v>45929</v>
      </c>
      <c r="D330" s="4" t="str">
        <f t="shared" si="5"/>
        <v>E0001145929</v>
      </c>
      <c r="E330" s="2" t="s">
        <v>166</v>
      </c>
      <c r="F330" s="2" t="s">
        <v>162</v>
      </c>
    </row>
    <row r="331" spans="1:6" x14ac:dyDescent="0.25">
      <c r="A331" s="2" t="s">
        <v>34</v>
      </c>
      <c r="B331" s="2" t="s">
        <v>35</v>
      </c>
      <c r="C331" s="4">
        <v>45930</v>
      </c>
      <c r="D331" s="4" t="str">
        <f t="shared" si="5"/>
        <v>E0001145930</v>
      </c>
      <c r="E331" s="2" t="s">
        <v>167</v>
      </c>
      <c r="F331" s="2" t="s">
        <v>162</v>
      </c>
    </row>
    <row r="332" spans="1:6" x14ac:dyDescent="0.25">
      <c r="A332" s="2" t="s">
        <v>37</v>
      </c>
      <c r="B332" s="2" t="s">
        <v>38</v>
      </c>
      <c r="C332" s="4">
        <v>45901</v>
      </c>
      <c r="D332" s="4" t="str">
        <f t="shared" si="5"/>
        <v>E0001245901</v>
      </c>
      <c r="E332" s="2" t="s">
        <v>166</v>
      </c>
      <c r="F332" s="2" t="s">
        <v>165</v>
      </c>
    </row>
    <row r="333" spans="1:6" x14ac:dyDescent="0.25">
      <c r="A333" s="2" t="s">
        <v>37</v>
      </c>
      <c r="B333" s="2" t="s">
        <v>38</v>
      </c>
      <c r="C333" s="4">
        <v>45902</v>
      </c>
      <c r="D333" s="4" t="str">
        <f t="shared" si="5"/>
        <v>E0001245902</v>
      </c>
      <c r="E333" s="2" t="s">
        <v>167</v>
      </c>
      <c r="F333" s="2" t="s">
        <v>162</v>
      </c>
    </row>
    <row r="334" spans="1:6" x14ac:dyDescent="0.25">
      <c r="A334" s="2" t="s">
        <v>37</v>
      </c>
      <c r="B334" s="2" t="s">
        <v>38</v>
      </c>
      <c r="C334" s="4">
        <v>45903</v>
      </c>
      <c r="D334" s="4" t="str">
        <f t="shared" si="5"/>
        <v>E0001245903</v>
      </c>
      <c r="E334" s="2" t="s">
        <v>168</v>
      </c>
      <c r="F334" s="2" t="s">
        <v>162</v>
      </c>
    </row>
    <row r="335" spans="1:6" x14ac:dyDescent="0.25">
      <c r="A335" s="2" t="s">
        <v>37</v>
      </c>
      <c r="B335" s="2" t="s">
        <v>38</v>
      </c>
      <c r="C335" s="4">
        <v>45904</v>
      </c>
      <c r="D335" s="4" t="str">
        <f t="shared" si="5"/>
        <v>E0001245904</v>
      </c>
      <c r="E335" s="2" t="s">
        <v>169</v>
      </c>
      <c r="F335" s="2" t="s">
        <v>162</v>
      </c>
    </row>
    <row r="336" spans="1:6" x14ac:dyDescent="0.25">
      <c r="A336" s="2" t="s">
        <v>37</v>
      </c>
      <c r="B336" s="2" t="s">
        <v>38</v>
      </c>
      <c r="C336" s="4">
        <v>45905</v>
      </c>
      <c r="D336" s="4" t="str">
        <f t="shared" si="5"/>
        <v>E0001245905</v>
      </c>
      <c r="E336" s="2" t="s">
        <v>170</v>
      </c>
      <c r="F336" s="2" t="s">
        <v>162</v>
      </c>
    </row>
    <row r="337" spans="1:6" x14ac:dyDescent="0.25">
      <c r="A337" s="2" t="s">
        <v>37</v>
      </c>
      <c r="B337" s="2" t="s">
        <v>38</v>
      </c>
      <c r="C337" s="4">
        <v>45906</v>
      </c>
      <c r="D337" s="4" t="str">
        <f t="shared" si="5"/>
        <v>E0001245906</v>
      </c>
      <c r="E337" s="2" t="s">
        <v>171</v>
      </c>
      <c r="F337" s="2" t="s">
        <v>162</v>
      </c>
    </row>
    <row r="338" spans="1:6" x14ac:dyDescent="0.25">
      <c r="A338" s="2" t="s">
        <v>37</v>
      </c>
      <c r="B338" s="2" t="s">
        <v>38</v>
      </c>
      <c r="C338" s="4">
        <v>45907</v>
      </c>
      <c r="D338" s="4" t="str">
        <f t="shared" si="5"/>
        <v>E0001245907</v>
      </c>
      <c r="E338" s="2" t="s">
        <v>172</v>
      </c>
      <c r="F338" s="2" t="s">
        <v>164</v>
      </c>
    </row>
    <row r="339" spans="1:6" x14ac:dyDescent="0.25">
      <c r="A339" s="2" t="s">
        <v>37</v>
      </c>
      <c r="B339" s="2" t="s">
        <v>38</v>
      </c>
      <c r="C339" s="4">
        <v>45908</v>
      </c>
      <c r="D339" s="4" t="str">
        <f t="shared" si="5"/>
        <v>E0001245908</v>
      </c>
      <c r="E339" s="2" t="s">
        <v>166</v>
      </c>
      <c r="F339" s="2" t="s">
        <v>162</v>
      </c>
    </row>
    <row r="340" spans="1:6" x14ac:dyDescent="0.25">
      <c r="A340" s="2" t="s">
        <v>37</v>
      </c>
      <c r="B340" s="2" t="s">
        <v>38</v>
      </c>
      <c r="C340" s="4">
        <v>45909</v>
      </c>
      <c r="D340" s="4" t="str">
        <f t="shared" si="5"/>
        <v>E0001245909</v>
      </c>
      <c r="E340" s="2" t="s">
        <v>167</v>
      </c>
      <c r="F340" s="2" t="s">
        <v>163</v>
      </c>
    </row>
    <row r="341" spans="1:6" x14ac:dyDescent="0.25">
      <c r="A341" s="2" t="s">
        <v>37</v>
      </c>
      <c r="B341" s="2" t="s">
        <v>38</v>
      </c>
      <c r="C341" s="4">
        <v>45910</v>
      </c>
      <c r="D341" s="4" t="str">
        <f t="shared" si="5"/>
        <v>E0001245910</v>
      </c>
      <c r="E341" s="2" t="s">
        <v>168</v>
      </c>
      <c r="F341" s="2" t="s">
        <v>162</v>
      </c>
    </row>
    <row r="342" spans="1:6" x14ac:dyDescent="0.25">
      <c r="A342" s="2" t="s">
        <v>37</v>
      </c>
      <c r="B342" s="2" t="s">
        <v>38</v>
      </c>
      <c r="C342" s="4">
        <v>45911</v>
      </c>
      <c r="D342" s="4" t="str">
        <f t="shared" si="5"/>
        <v>E0001245911</v>
      </c>
      <c r="E342" s="2" t="s">
        <v>169</v>
      </c>
      <c r="F342" s="2" t="s">
        <v>162</v>
      </c>
    </row>
    <row r="343" spans="1:6" x14ac:dyDescent="0.25">
      <c r="A343" s="2" t="s">
        <v>37</v>
      </c>
      <c r="B343" s="2" t="s">
        <v>38</v>
      </c>
      <c r="C343" s="4">
        <v>45912</v>
      </c>
      <c r="D343" s="4" t="str">
        <f t="shared" si="5"/>
        <v>E0001245912</v>
      </c>
      <c r="E343" s="2" t="s">
        <v>170</v>
      </c>
      <c r="F343" s="2" t="s">
        <v>165</v>
      </c>
    </row>
    <row r="344" spans="1:6" x14ac:dyDescent="0.25">
      <c r="A344" s="2" t="s">
        <v>37</v>
      </c>
      <c r="B344" s="2" t="s">
        <v>38</v>
      </c>
      <c r="C344" s="4">
        <v>45913</v>
      </c>
      <c r="D344" s="4" t="str">
        <f t="shared" si="5"/>
        <v>E0001245913</v>
      </c>
      <c r="E344" s="2" t="s">
        <v>171</v>
      </c>
      <c r="F344" s="2" t="s">
        <v>162</v>
      </c>
    </row>
    <row r="345" spans="1:6" x14ac:dyDescent="0.25">
      <c r="A345" s="2" t="s">
        <v>37</v>
      </c>
      <c r="B345" s="2" t="s">
        <v>38</v>
      </c>
      <c r="C345" s="4">
        <v>45914</v>
      </c>
      <c r="D345" s="4" t="str">
        <f t="shared" si="5"/>
        <v>E0001245914</v>
      </c>
      <c r="E345" s="2" t="s">
        <v>172</v>
      </c>
      <c r="F345" s="2" t="s">
        <v>164</v>
      </c>
    </row>
    <row r="346" spans="1:6" x14ac:dyDescent="0.25">
      <c r="A346" s="2" t="s">
        <v>37</v>
      </c>
      <c r="B346" s="2" t="s">
        <v>38</v>
      </c>
      <c r="C346" s="4">
        <v>45915</v>
      </c>
      <c r="D346" s="4" t="str">
        <f t="shared" si="5"/>
        <v>E0001245915</v>
      </c>
      <c r="E346" s="2" t="s">
        <v>166</v>
      </c>
      <c r="F346" s="2" t="s">
        <v>165</v>
      </c>
    </row>
    <row r="347" spans="1:6" x14ac:dyDescent="0.25">
      <c r="A347" s="2" t="s">
        <v>37</v>
      </c>
      <c r="B347" s="2" t="s">
        <v>38</v>
      </c>
      <c r="C347" s="4">
        <v>45916</v>
      </c>
      <c r="D347" s="4" t="str">
        <f t="shared" si="5"/>
        <v>E0001245916</v>
      </c>
      <c r="E347" s="2" t="s">
        <v>167</v>
      </c>
      <c r="F347" s="2" t="s">
        <v>162</v>
      </c>
    </row>
    <row r="348" spans="1:6" x14ac:dyDescent="0.25">
      <c r="A348" s="2" t="s">
        <v>37</v>
      </c>
      <c r="B348" s="2" t="s">
        <v>38</v>
      </c>
      <c r="C348" s="4">
        <v>45917</v>
      </c>
      <c r="D348" s="4" t="str">
        <f t="shared" si="5"/>
        <v>E0001245917</v>
      </c>
      <c r="E348" s="2" t="s">
        <v>168</v>
      </c>
      <c r="F348" s="2" t="s">
        <v>162</v>
      </c>
    </row>
    <row r="349" spans="1:6" x14ac:dyDescent="0.25">
      <c r="A349" s="2" t="s">
        <v>37</v>
      </c>
      <c r="B349" s="2" t="s">
        <v>38</v>
      </c>
      <c r="C349" s="4">
        <v>45918</v>
      </c>
      <c r="D349" s="4" t="str">
        <f t="shared" si="5"/>
        <v>E0001245918</v>
      </c>
      <c r="E349" s="2" t="s">
        <v>169</v>
      </c>
      <c r="F349" s="2" t="s">
        <v>162</v>
      </c>
    </row>
    <row r="350" spans="1:6" x14ac:dyDescent="0.25">
      <c r="A350" s="2" t="s">
        <v>37</v>
      </c>
      <c r="B350" s="2" t="s">
        <v>38</v>
      </c>
      <c r="C350" s="4">
        <v>45919</v>
      </c>
      <c r="D350" s="4" t="str">
        <f t="shared" si="5"/>
        <v>E0001245919</v>
      </c>
      <c r="E350" s="2" t="s">
        <v>170</v>
      </c>
      <c r="F350" s="2" t="s">
        <v>162</v>
      </c>
    </row>
    <row r="351" spans="1:6" x14ac:dyDescent="0.25">
      <c r="A351" s="2" t="s">
        <v>37</v>
      </c>
      <c r="B351" s="2" t="s">
        <v>38</v>
      </c>
      <c r="C351" s="4">
        <v>45920</v>
      </c>
      <c r="D351" s="4" t="str">
        <f t="shared" si="5"/>
        <v>E0001245920</v>
      </c>
      <c r="E351" s="2" t="s">
        <v>171</v>
      </c>
      <c r="F351" s="2" t="s">
        <v>162</v>
      </c>
    </row>
    <row r="352" spans="1:6" x14ac:dyDescent="0.25">
      <c r="A352" s="2" t="s">
        <v>37</v>
      </c>
      <c r="B352" s="2" t="s">
        <v>38</v>
      </c>
      <c r="C352" s="4">
        <v>45921</v>
      </c>
      <c r="D352" s="4" t="str">
        <f t="shared" si="5"/>
        <v>E0001245921</v>
      </c>
      <c r="E352" s="2" t="s">
        <v>172</v>
      </c>
      <c r="F352" s="2" t="s">
        <v>164</v>
      </c>
    </row>
    <row r="353" spans="1:6" x14ac:dyDescent="0.25">
      <c r="A353" s="2" t="s">
        <v>37</v>
      </c>
      <c r="B353" s="2" t="s">
        <v>38</v>
      </c>
      <c r="C353" s="4">
        <v>45922</v>
      </c>
      <c r="D353" s="4" t="str">
        <f t="shared" si="5"/>
        <v>E0001245922</v>
      </c>
      <c r="E353" s="2" t="s">
        <v>166</v>
      </c>
      <c r="F353" s="2" t="s">
        <v>162</v>
      </c>
    </row>
    <row r="354" spans="1:6" x14ac:dyDescent="0.25">
      <c r="A354" s="2" t="s">
        <v>37</v>
      </c>
      <c r="B354" s="2" t="s">
        <v>38</v>
      </c>
      <c r="C354" s="4">
        <v>45923</v>
      </c>
      <c r="D354" s="4" t="str">
        <f t="shared" si="5"/>
        <v>E0001245923</v>
      </c>
      <c r="E354" s="2" t="s">
        <v>167</v>
      </c>
      <c r="F354" s="2" t="s">
        <v>162</v>
      </c>
    </row>
    <row r="355" spans="1:6" x14ac:dyDescent="0.25">
      <c r="A355" s="2" t="s">
        <v>37</v>
      </c>
      <c r="B355" s="2" t="s">
        <v>38</v>
      </c>
      <c r="C355" s="4">
        <v>45924</v>
      </c>
      <c r="D355" s="4" t="str">
        <f t="shared" si="5"/>
        <v>E0001245924</v>
      </c>
      <c r="E355" s="2" t="s">
        <v>168</v>
      </c>
      <c r="F355" s="2" t="s">
        <v>162</v>
      </c>
    </row>
    <row r="356" spans="1:6" x14ac:dyDescent="0.25">
      <c r="A356" s="2" t="s">
        <v>37</v>
      </c>
      <c r="B356" s="2" t="s">
        <v>38</v>
      </c>
      <c r="C356" s="4">
        <v>45925</v>
      </c>
      <c r="D356" s="4" t="str">
        <f t="shared" si="5"/>
        <v>E0001245925</v>
      </c>
      <c r="E356" s="2" t="s">
        <v>169</v>
      </c>
      <c r="F356" s="2" t="s">
        <v>162</v>
      </c>
    </row>
    <row r="357" spans="1:6" x14ac:dyDescent="0.25">
      <c r="A357" s="2" t="s">
        <v>37</v>
      </c>
      <c r="B357" s="2" t="s">
        <v>38</v>
      </c>
      <c r="C357" s="4">
        <v>45926</v>
      </c>
      <c r="D357" s="4" t="str">
        <f t="shared" si="5"/>
        <v>E0001245926</v>
      </c>
      <c r="E357" s="2" t="s">
        <v>170</v>
      </c>
      <c r="F357" s="2" t="s">
        <v>163</v>
      </c>
    </row>
    <row r="358" spans="1:6" x14ac:dyDescent="0.25">
      <c r="A358" s="2" t="s">
        <v>37</v>
      </c>
      <c r="B358" s="2" t="s">
        <v>38</v>
      </c>
      <c r="C358" s="4">
        <v>45927</v>
      </c>
      <c r="D358" s="4" t="str">
        <f t="shared" si="5"/>
        <v>E0001245927</v>
      </c>
      <c r="E358" s="2" t="s">
        <v>171</v>
      </c>
      <c r="F358" s="2" t="s">
        <v>162</v>
      </c>
    </row>
    <row r="359" spans="1:6" x14ac:dyDescent="0.25">
      <c r="A359" s="2" t="s">
        <v>37</v>
      </c>
      <c r="B359" s="2" t="s">
        <v>38</v>
      </c>
      <c r="C359" s="4">
        <v>45928</v>
      </c>
      <c r="D359" s="4" t="str">
        <f t="shared" si="5"/>
        <v>E0001245928</v>
      </c>
      <c r="E359" s="2" t="s">
        <v>172</v>
      </c>
      <c r="F359" s="2" t="s">
        <v>164</v>
      </c>
    </row>
    <row r="360" spans="1:6" x14ac:dyDescent="0.25">
      <c r="A360" s="2" t="s">
        <v>37</v>
      </c>
      <c r="B360" s="2" t="s">
        <v>38</v>
      </c>
      <c r="C360" s="4">
        <v>45929</v>
      </c>
      <c r="D360" s="4" t="str">
        <f t="shared" si="5"/>
        <v>E0001245929</v>
      </c>
      <c r="E360" s="2" t="s">
        <v>166</v>
      </c>
      <c r="F360" s="2" t="s">
        <v>162</v>
      </c>
    </row>
    <row r="361" spans="1:6" x14ac:dyDescent="0.25">
      <c r="A361" s="2" t="s">
        <v>37</v>
      </c>
      <c r="B361" s="2" t="s">
        <v>38</v>
      </c>
      <c r="C361" s="4">
        <v>45930</v>
      </c>
      <c r="D361" s="4" t="str">
        <f t="shared" si="5"/>
        <v>E0001245930</v>
      </c>
      <c r="E361" s="2" t="s">
        <v>167</v>
      </c>
      <c r="F361" s="2" t="s">
        <v>162</v>
      </c>
    </row>
    <row r="362" spans="1:6" x14ac:dyDescent="0.25">
      <c r="A362" s="2" t="s">
        <v>39</v>
      </c>
      <c r="B362" s="2" t="s">
        <v>40</v>
      </c>
      <c r="C362" s="4">
        <v>45901</v>
      </c>
      <c r="D362" s="4" t="str">
        <f t="shared" si="5"/>
        <v>E0001345901</v>
      </c>
      <c r="E362" s="2" t="s">
        <v>166</v>
      </c>
      <c r="F362" s="2" t="s">
        <v>165</v>
      </c>
    </row>
    <row r="363" spans="1:6" x14ac:dyDescent="0.25">
      <c r="A363" s="2" t="s">
        <v>39</v>
      </c>
      <c r="B363" s="2" t="s">
        <v>40</v>
      </c>
      <c r="C363" s="4">
        <v>45902</v>
      </c>
      <c r="D363" s="4" t="str">
        <f t="shared" si="5"/>
        <v>E0001345902</v>
      </c>
      <c r="E363" s="2" t="s">
        <v>167</v>
      </c>
      <c r="F363" s="2" t="s">
        <v>163</v>
      </c>
    </row>
    <row r="364" spans="1:6" x14ac:dyDescent="0.25">
      <c r="A364" s="2" t="s">
        <v>39</v>
      </c>
      <c r="B364" s="2" t="s">
        <v>40</v>
      </c>
      <c r="C364" s="4">
        <v>45903</v>
      </c>
      <c r="D364" s="4" t="str">
        <f t="shared" si="5"/>
        <v>E0001345903</v>
      </c>
      <c r="E364" s="2" t="s">
        <v>168</v>
      </c>
      <c r="F364" s="2" t="s">
        <v>165</v>
      </c>
    </row>
    <row r="365" spans="1:6" x14ac:dyDescent="0.25">
      <c r="A365" s="2" t="s">
        <v>39</v>
      </c>
      <c r="B365" s="2" t="s">
        <v>40</v>
      </c>
      <c r="C365" s="4">
        <v>45904</v>
      </c>
      <c r="D365" s="4" t="str">
        <f t="shared" si="5"/>
        <v>E0001345904</v>
      </c>
      <c r="E365" s="2" t="s">
        <v>169</v>
      </c>
      <c r="F365" s="2" t="s">
        <v>162</v>
      </c>
    </row>
    <row r="366" spans="1:6" x14ac:dyDescent="0.25">
      <c r="A366" s="2" t="s">
        <v>39</v>
      </c>
      <c r="B366" s="2" t="s">
        <v>40</v>
      </c>
      <c r="C366" s="4">
        <v>45905</v>
      </c>
      <c r="D366" s="4" t="str">
        <f t="shared" si="5"/>
        <v>E0001345905</v>
      </c>
      <c r="E366" s="2" t="s">
        <v>170</v>
      </c>
      <c r="F366" s="2" t="s">
        <v>162</v>
      </c>
    </row>
    <row r="367" spans="1:6" x14ac:dyDescent="0.25">
      <c r="A367" s="2" t="s">
        <v>39</v>
      </c>
      <c r="B367" s="2" t="s">
        <v>40</v>
      </c>
      <c r="C367" s="4">
        <v>45906</v>
      </c>
      <c r="D367" s="4" t="str">
        <f t="shared" si="5"/>
        <v>E0001345906</v>
      </c>
      <c r="E367" s="2" t="s">
        <v>171</v>
      </c>
      <c r="F367" s="2" t="s">
        <v>163</v>
      </c>
    </row>
    <row r="368" spans="1:6" x14ac:dyDescent="0.25">
      <c r="A368" s="2" t="s">
        <v>39</v>
      </c>
      <c r="B368" s="2" t="s">
        <v>40</v>
      </c>
      <c r="C368" s="4">
        <v>45907</v>
      </c>
      <c r="D368" s="4" t="str">
        <f t="shared" si="5"/>
        <v>E0001345907</v>
      </c>
      <c r="E368" s="2" t="s">
        <v>172</v>
      </c>
      <c r="F368" s="2" t="s">
        <v>164</v>
      </c>
    </row>
    <row r="369" spans="1:6" x14ac:dyDescent="0.25">
      <c r="A369" s="2" t="s">
        <v>39</v>
      </c>
      <c r="B369" s="2" t="s">
        <v>40</v>
      </c>
      <c r="C369" s="4">
        <v>45908</v>
      </c>
      <c r="D369" s="4" t="str">
        <f t="shared" si="5"/>
        <v>E0001345908</v>
      </c>
      <c r="E369" s="2" t="s">
        <v>166</v>
      </c>
      <c r="F369" s="2" t="s">
        <v>163</v>
      </c>
    </row>
    <row r="370" spans="1:6" x14ac:dyDescent="0.25">
      <c r="A370" s="2" t="s">
        <v>39</v>
      </c>
      <c r="B370" s="2" t="s">
        <v>40</v>
      </c>
      <c r="C370" s="4">
        <v>45909</v>
      </c>
      <c r="D370" s="4" t="str">
        <f t="shared" si="5"/>
        <v>E0001345909</v>
      </c>
      <c r="E370" s="2" t="s">
        <v>167</v>
      </c>
      <c r="F370" s="2" t="s">
        <v>162</v>
      </c>
    </row>
    <row r="371" spans="1:6" x14ac:dyDescent="0.25">
      <c r="A371" s="2" t="s">
        <v>39</v>
      </c>
      <c r="B371" s="2" t="s">
        <v>40</v>
      </c>
      <c r="C371" s="4">
        <v>45910</v>
      </c>
      <c r="D371" s="4" t="str">
        <f t="shared" si="5"/>
        <v>E0001345910</v>
      </c>
      <c r="E371" s="2" t="s">
        <v>168</v>
      </c>
      <c r="F371" s="2" t="s">
        <v>162</v>
      </c>
    </row>
    <row r="372" spans="1:6" x14ac:dyDescent="0.25">
      <c r="A372" s="2" t="s">
        <v>39</v>
      </c>
      <c r="B372" s="2" t="s">
        <v>40</v>
      </c>
      <c r="C372" s="4">
        <v>45911</v>
      </c>
      <c r="D372" s="4" t="str">
        <f t="shared" si="5"/>
        <v>E0001345911</v>
      </c>
      <c r="E372" s="2" t="s">
        <v>169</v>
      </c>
      <c r="F372" s="2" t="s">
        <v>162</v>
      </c>
    </row>
    <row r="373" spans="1:6" x14ac:dyDescent="0.25">
      <c r="A373" s="2" t="s">
        <v>39</v>
      </c>
      <c r="B373" s="2" t="s">
        <v>40</v>
      </c>
      <c r="C373" s="4">
        <v>45912</v>
      </c>
      <c r="D373" s="4" t="str">
        <f t="shared" si="5"/>
        <v>E0001345912</v>
      </c>
      <c r="E373" s="2" t="s">
        <v>170</v>
      </c>
      <c r="F373" s="2" t="s">
        <v>162</v>
      </c>
    </row>
    <row r="374" spans="1:6" x14ac:dyDescent="0.25">
      <c r="A374" s="2" t="s">
        <v>39</v>
      </c>
      <c r="B374" s="2" t="s">
        <v>40</v>
      </c>
      <c r="C374" s="4">
        <v>45913</v>
      </c>
      <c r="D374" s="4" t="str">
        <f t="shared" si="5"/>
        <v>E0001345913</v>
      </c>
      <c r="E374" s="2" t="s">
        <v>171</v>
      </c>
      <c r="F374" s="2" t="s">
        <v>162</v>
      </c>
    </row>
    <row r="375" spans="1:6" x14ac:dyDescent="0.25">
      <c r="A375" s="2" t="s">
        <v>39</v>
      </c>
      <c r="B375" s="2" t="s">
        <v>40</v>
      </c>
      <c r="C375" s="4">
        <v>45914</v>
      </c>
      <c r="D375" s="4" t="str">
        <f t="shared" si="5"/>
        <v>E0001345914</v>
      </c>
      <c r="E375" s="2" t="s">
        <v>172</v>
      </c>
      <c r="F375" s="2" t="s">
        <v>164</v>
      </c>
    </row>
    <row r="376" spans="1:6" x14ac:dyDescent="0.25">
      <c r="A376" s="2" t="s">
        <v>39</v>
      </c>
      <c r="B376" s="2" t="s">
        <v>40</v>
      </c>
      <c r="C376" s="4">
        <v>45915</v>
      </c>
      <c r="D376" s="4" t="str">
        <f t="shared" si="5"/>
        <v>E0001345915</v>
      </c>
      <c r="E376" s="2" t="s">
        <v>166</v>
      </c>
      <c r="F376" s="2" t="s">
        <v>163</v>
      </c>
    </row>
    <row r="377" spans="1:6" x14ac:dyDescent="0.25">
      <c r="A377" s="2" t="s">
        <v>39</v>
      </c>
      <c r="B377" s="2" t="s">
        <v>40</v>
      </c>
      <c r="C377" s="4">
        <v>45916</v>
      </c>
      <c r="D377" s="4" t="str">
        <f t="shared" si="5"/>
        <v>E0001345916</v>
      </c>
      <c r="E377" s="2" t="s">
        <v>167</v>
      </c>
      <c r="F377" s="2" t="s">
        <v>163</v>
      </c>
    </row>
    <row r="378" spans="1:6" x14ac:dyDescent="0.25">
      <c r="A378" s="2" t="s">
        <v>39</v>
      </c>
      <c r="B378" s="2" t="s">
        <v>40</v>
      </c>
      <c r="C378" s="4">
        <v>45917</v>
      </c>
      <c r="D378" s="4" t="str">
        <f t="shared" si="5"/>
        <v>E0001345917</v>
      </c>
      <c r="E378" s="2" t="s">
        <v>168</v>
      </c>
      <c r="F378" s="2" t="s">
        <v>162</v>
      </c>
    </row>
    <row r="379" spans="1:6" x14ac:dyDescent="0.25">
      <c r="A379" s="2" t="s">
        <v>39</v>
      </c>
      <c r="B379" s="2" t="s">
        <v>40</v>
      </c>
      <c r="C379" s="4">
        <v>45918</v>
      </c>
      <c r="D379" s="4" t="str">
        <f t="shared" si="5"/>
        <v>E0001345918</v>
      </c>
      <c r="E379" s="2" t="s">
        <v>169</v>
      </c>
      <c r="F379" s="2" t="s">
        <v>163</v>
      </c>
    </row>
    <row r="380" spans="1:6" x14ac:dyDescent="0.25">
      <c r="A380" s="2" t="s">
        <v>39</v>
      </c>
      <c r="B380" s="2" t="s">
        <v>40</v>
      </c>
      <c r="C380" s="4">
        <v>45919</v>
      </c>
      <c r="D380" s="4" t="str">
        <f t="shared" si="5"/>
        <v>E0001345919</v>
      </c>
      <c r="E380" s="2" t="s">
        <v>170</v>
      </c>
      <c r="F380" s="2" t="s">
        <v>162</v>
      </c>
    </row>
    <row r="381" spans="1:6" x14ac:dyDescent="0.25">
      <c r="A381" s="2" t="s">
        <v>39</v>
      </c>
      <c r="B381" s="2" t="s">
        <v>40</v>
      </c>
      <c r="C381" s="4">
        <v>45920</v>
      </c>
      <c r="D381" s="4" t="str">
        <f t="shared" si="5"/>
        <v>E0001345920</v>
      </c>
      <c r="E381" s="2" t="s">
        <v>171</v>
      </c>
      <c r="F381" s="2" t="s">
        <v>162</v>
      </c>
    </row>
    <row r="382" spans="1:6" x14ac:dyDescent="0.25">
      <c r="A382" s="2" t="s">
        <v>39</v>
      </c>
      <c r="B382" s="2" t="s">
        <v>40</v>
      </c>
      <c r="C382" s="4">
        <v>45921</v>
      </c>
      <c r="D382" s="4" t="str">
        <f t="shared" si="5"/>
        <v>E0001345921</v>
      </c>
      <c r="E382" s="2" t="s">
        <v>172</v>
      </c>
      <c r="F382" s="2" t="s">
        <v>164</v>
      </c>
    </row>
    <row r="383" spans="1:6" x14ac:dyDescent="0.25">
      <c r="A383" s="2" t="s">
        <v>39</v>
      </c>
      <c r="B383" s="2" t="s">
        <v>40</v>
      </c>
      <c r="C383" s="4">
        <v>45922</v>
      </c>
      <c r="D383" s="4" t="str">
        <f t="shared" si="5"/>
        <v>E0001345922</v>
      </c>
      <c r="E383" s="2" t="s">
        <v>166</v>
      </c>
      <c r="F383" s="2" t="s">
        <v>162</v>
      </c>
    </row>
    <row r="384" spans="1:6" x14ac:dyDescent="0.25">
      <c r="A384" s="2" t="s">
        <v>39</v>
      </c>
      <c r="B384" s="2" t="s">
        <v>40</v>
      </c>
      <c r="C384" s="4">
        <v>45923</v>
      </c>
      <c r="D384" s="4" t="str">
        <f t="shared" si="5"/>
        <v>E0001345923</v>
      </c>
      <c r="E384" s="2" t="s">
        <v>167</v>
      </c>
      <c r="F384" s="2" t="s">
        <v>162</v>
      </c>
    </row>
    <row r="385" spans="1:6" x14ac:dyDescent="0.25">
      <c r="A385" s="2" t="s">
        <v>39</v>
      </c>
      <c r="B385" s="2" t="s">
        <v>40</v>
      </c>
      <c r="C385" s="4">
        <v>45924</v>
      </c>
      <c r="D385" s="4" t="str">
        <f t="shared" si="5"/>
        <v>E0001345924</v>
      </c>
      <c r="E385" s="2" t="s">
        <v>168</v>
      </c>
      <c r="F385" s="2" t="s">
        <v>162</v>
      </c>
    </row>
    <row r="386" spans="1:6" x14ac:dyDescent="0.25">
      <c r="A386" s="2" t="s">
        <v>39</v>
      </c>
      <c r="B386" s="2" t="s">
        <v>40</v>
      </c>
      <c r="C386" s="4">
        <v>45925</v>
      </c>
      <c r="D386" s="4" t="str">
        <f t="shared" si="5"/>
        <v>E0001345925</v>
      </c>
      <c r="E386" s="2" t="s">
        <v>169</v>
      </c>
      <c r="F386" s="2" t="s">
        <v>162</v>
      </c>
    </row>
    <row r="387" spans="1:6" x14ac:dyDescent="0.25">
      <c r="A387" s="2" t="s">
        <v>39</v>
      </c>
      <c r="B387" s="2" t="s">
        <v>40</v>
      </c>
      <c r="C387" s="4">
        <v>45926</v>
      </c>
      <c r="D387" s="4" t="str">
        <f t="shared" ref="D387:D450" si="6">A387&amp;C387</f>
        <v>E0001345926</v>
      </c>
      <c r="E387" s="2" t="s">
        <v>170</v>
      </c>
      <c r="F387" s="2" t="s">
        <v>162</v>
      </c>
    </row>
    <row r="388" spans="1:6" x14ac:dyDescent="0.25">
      <c r="A388" s="2" t="s">
        <v>39</v>
      </c>
      <c r="B388" s="2" t="s">
        <v>40</v>
      </c>
      <c r="C388" s="4">
        <v>45927</v>
      </c>
      <c r="D388" s="4" t="str">
        <f t="shared" si="6"/>
        <v>E0001345927</v>
      </c>
      <c r="E388" s="2" t="s">
        <v>171</v>
      </c>
      <c r="F388" s="2" t="s">
        <v>162</v>
      </c>
    </row>
    <row r="389" spans="1:6" x14ac:dyDescent="0.25">
      <c r="A389" s="2" t="s">
        <v>39</v>
      </c>
      <c r="B389" s="2" t="s">
        <v>40</v>
      </c>
      <c r="C389" s="4">
        <v>45928</v>
      </c>
      <c r="D389" s="4" t="str">
        <f t="shared" si="6"/>
        <v>E0001345928</v>
      </c>
      <c r="E389" s="2" t="s">
        <v>172</v>
      </c>
      <c r="F389" s="2" t="s">
        <v>164</v>
      </c>
    </row>
    <row r="390" spans="1:6" x14ac:dyDescent="0.25">
      <c r="A390" s="2" t="s">
        <v>39</v>
      </c>
      <c r="B390" s="2" t="s">
        <v>40</v>
      </c>
      <c r="C390" s="4">
        <v>45929</v>
      </c>
      <c r="D390" s="4" t="str">
        <f t="shared" si="6"/>
        <v>E0001345929</v>
      </c>
      <c r="E390" s="2" t="s">
        <v>166</v>
      </c>
      <c r="F390" s="2" t="s">
        <v>162</v>
      </c>
    </row>
    <row r="391" spans="1:6" x14ac:dyDescent="0.25">
      <c r="A391" s="2" t="s">
        <v>39</v>
      </c>
      <c r="B391" s="2" t="s">
        <v>40</v>
      </c>
      <c r="C391" s="4">
        <v>45930</v>
      </c>
      <c r="D391" s="4" t="str">
        <f t="shared" si="6"/>
        <v>E0001345930</v>
      </c>
      <c r="E391" s="2" t="s">
        <v>167</v>
      </c>
      <c r="F391" s="2" t="s">
        <v>162</v>
      </c>
    </row>
    <row r="392" spans="1:6" x14ac:dyDescent="0.25">
      <c r="A392" s="2" t="s">
        <v>42</v>
      </c>
      <c r="B392" s="2" t="s">
        <v>43</v>
      </c>
      <c r="C392" s="4">
        <v>45901</v>
      </c>
      <c r="D392" s="4" t="str">
        <f t="shared" si="6"/>
        <v>E0001445901</v>
      </c>
      <c r="E392" s="2" t="s">
        <v>166</v>
      </c>
      <c r="F392" s="2" t="s">
        <v>162</v>
      </c>
    </row>
    <row r="393" spans="1:6" x14ac:dyDescent="0.25">
      <c r="A393" s="2" t="s">
        <v>42</v>
      </c>
      <c r="B393" s="2" t="s">
        <v>43</v>
      </c>
      <c r="C393" s="4">
        <v>45902</v>
      </c>
      <c r="D393" s="4" t="str">
        <f t="shared" si="6"/>
        <v>E0001445902</v>
      </c>
      <c r="E393" s="2" t="s">
        <v>167</v>
      </c>
      <c r="F393" s="2" t="s">
        <v>162</v>
      </c>
    </row>
    <row r="394" spans="1:6" x14ac:dyDescent="0.25">
      <c r="A394" s="2" t="s">
        <v>42</v>
      </c>
      <c r="B394" s="2" t="s">
        <v>43</v>
      </c>
      <c r="C394" s="4">
        <v>45903</v>
      </c>
      <c r="D394" s="4" t="str">
        <f t="shared" si="6"/>
        <v>E0001445903</v>
      </c>
      <c r="E394" s="2" t="s">
        <v>168</v>
      </c>
      <c r="F394" s="2" t="s">
        <v>162</v>
      </c>
    </row>
    <row r="395" spans="1:6" x14ac:dyDescent="0.25">
      <c r="A395" s="2" t="s">
        <v>42</v>
      </c>
      <c r="B395" s="2" t="s">
        <v>43</v>
      </c>
      <c r="C395" s="4">
        <v>45904</v>
      </c>
      <c r="D395" s="4" t="str">
        <f t="shared" si="6"/>
        <v>E0001445904</v>
      </c>
      <c r="E395" s="2" t="s">
        <v>169</v>
      </c>
      <c r="F395" s="2" t="s">
        <v>163</v>
      </c>
    </row>
    <row r="396" spans="1:6" x14ac:dyDescent="0.25">
      <c r="A396" s="2" t="s">
        <v>42</v>
      </c>
      <c r="B396" s="2" t="s">
        <v>43</v>
      </c>
      <c r="C396" s="4">
        <v>45905</v>
      </c>
      <c r="D396" s="4" t="str">
        <f t="shared" si="6"/>
        <v>E0001445905</v>
      </c>
      <c r="E396" s="2" t="s">
        <v>170</v>
      </c>
      <c r="F396" s="2" t="s">
        <v>162</v>
      </c>
    </row>
    <row r="397" spans="1:6" x14ac:dyDescent="0.25">
      <c r="A397" s="2" t="s">
        <v>42</v>
      </c>
      <c r="B397" s="2" t="s">
        <v>43</v>
      </c>
      <c r="C397" s="4">
        <v>45906</v>
      </c>
      <c r="D397" s="4" t="str">
        <f t="shared" si="6"/>
        <v>E0001445906</v>
      </c>
      <c r="E397" s="2" t="s">
        <v>171</v>
      </c>
      <c r="F397" s="2" t="s">
        <v>165</v>
      </c>
    </row>
    <row r="398" spans="1:6" x14ac:dyDescent="0.25">
      <c r="A398" s="2" t="s">
        <v>42</v>
      </c>
      <c r="B398" s="2" t="s">
        <v>43</v>
      </c>
      <c r="C398" s="4">
        <v>45907</v>
      </c>
      <c r="D398" s="4" t="str">
        <f t="shared" si="6"/>
        <v>E0001445907</v>
      </c>
      <c r="E398" s="2" t="s">
        <v>172</v>
      </c>
      <c r="F398" s="2" t="s">
        <v>164</v>
      </c>
    </row>
    <row r="399" spans="1:6" x14ac:dyDescent="0.25">
      <c r="A399" s="2" t="s">
        <v>42</v>
      </c>
      <c r="B399" s="2" t="s">
        <v>43</v>
      </c>
      <c r="C399" s="4">
        <v>45908</v>
      </c>
      <c r="D399" s="4" t="str">
        <f t="shared" si="6"/>
        <v>E0001445908</v>
      </c>
      <c r="E399" s="2" t="s">
        <v>166</v>
      </c>
      <c r="F399" s="2" t="s">
        <v>165</v>
      </c>
    </row>
    <row r="400" spans="1:6" x14ac:dyDescent="0.25">
      <c r="A400" s="2" t="s">
        <v>42</v>
      </c>
      <c r="B400" s="2" t="s">
        <v>43</v>
      </c>
      <c r="C400" s="4">
        <v>45909</v>
      </c>
      <c r="D400" s="4" t="str">
        <f t="shared" si="6"/>
        <v>E0001445909</v>
      </c>
      <c r="E400" s="2" t="s">
        <v>167</v>
      </c>
      <c r="F400" s="2" t="s">
        <v>162</v>
      </c>
    </row>
    <row r="401" spans="1:6" x14ac:dyDescent="0.25">
      <c r="A401" s="2" t="s">
        <v>42</v>
      </c>
      <c r="B401" s="2" t="s">
        <v>43</v>
      </c>
      <c r="C401" s="4">
        <v>45910</v>
      </c>
      <c r="D401" s="4" t="str">
        <f t="shared" si="6"/>
        <v>E0001445910</v>
      </c>
      <c r="E401" s="2" t="s">
        <v>168</v>
      </c>
      <c r="F401" s="2" t="s">
        <v>162</v>
      </c>
    </row>
    <row r="402" spans="1:6" x14ac:dyDescent="0.25">
      <c r="A402" s="2" t="s">
        <v>42</v>
      </c>
      <c r="B402" s="2" t="s">
        <v>43</v>
      </c>
      <c r="C402" s="4">
        <v>45911</v>
      </c>
      <c r="D402" s="4" t="str">
        <f t="shared" si="6"/>
        <v>E0001445911</v>
      </c>
      <c r="E402" s="2" t="s">
        <v>169</v>
      </c>
      <c r="F402" s="2" t="s">
        <v>162</v>
      </c>
    </row>
    <row r="403" spans="1:6" x14ac:dyDescent="0.25">
      <c r="A403" s="2" t="s">
        <v>42</v>
      </c>
      <c r="B403" s="2" t="s">
        <v>43</v>
      </c>
      <c r="C403" s="4">
        <v>45912</v>
      </c>
      <c r="D403" s="4" t="str">
        <f t="shared" si="6"/>
        <v>E0001445912</v>
      </c>
      <c r="E403" s="2" t="s">
        <v>170</v>
      </c>
      <c r="F403" s="2" t="s">
        <v>163</v>
      </c>
    </row>
    <row r="404" spans="1:6" x14ac:dyDescent="0.25">
      <c r="A404" s="2" t="s">
        <v>42</v>
      </c>
      <c r="B404" s="2" t="s">
        <v>43</v>
      </c>
      <c r="C404" s="4">
        <v>45913</v>
      </c>
      <c r="D404" s="4" t="str">
        <f t="shared" si="6"/>
        <v>E0001445913</v>
      </c>
      <c r="E404" s="2" t="s">
        <v>171</v>
      </c>
      <c r="F404" s="2" t="s">
        <v>162</v>
      </c>
    </row>
    <row r="405" spans="1:6" x14ac:dyDescent="0.25">
      <c r="A405" s="2" t="s">
        <v>42</v>
      </c>
      <c r="B405" s="2" t="s">
        <v>43</v>
      </c>
      <c r="C405" s="4">
        <v>45914</v>
      </c>
      <c r="D405" s="4" t="str">
        <f t="shared" si="6"/>
        <v>E0001445914</v>
      </c>
      <c r="E405" s="2" t="s">
        <v>172</v>
      </c>
      <c r="F405" s="2" t="s">
        <v>164</v>
      </c>
    </row>
    <row r="406" spans="1:6" x14ac:dyDescent="0.25">
      <c r="A406" s="2" t="s">
        <v>42</v>
      </c>
      <c r="B406" s="2" t="s">
        <v>43</v>
      </c>
      <c r="C406" s="4">
        <v>45915</v>
      </c>
      <c r="D406" s="4" t="str">
        <f t="shared" si="6"/>
        <v>E0001445915</v>
      </c>
      <c r="E406" s="2" t="s">
        <v>166</v>
      </c>
      <c r="F406" s="2" t="s">
        <v>165</v>
      </c>
    </row>
    <row r="407" spans="1:6" x14ac:dyDescent="0.25">
      <c r="A407" s="2" t="s">
        <v>42</v>
      </c>
      <c r="B407" s="2" t="s">
        <v>43</v>
      </c>
      <c r="C407" s="4">
        <v>45916</v>
      </c>
      <c r="D407" s="4" t="str">
        <f t="shared" si="6"/>
        <v>E0001445916</v>
      </c>
      <c r="E407" s="2" t="s">
        <v>167</v>
      </c>
      <c r="F407" s="2" t="s">
        <v>163</v>
      </c>
    </row>
    <row r="408" spans="1:6" x14ac:dyDescent="0.25">
      <c r="A408" s="2" t="s">
        <v>42</v>
      </c>
      <c r="B408" s="2" t="s">
        <v>43</v>
      </c>
      <c r="C408" s="4">
        <v>45917</v>
      </c>
      <c r="D408" s="4" t="str">
        <f t="shared" si="6"/>
        <v>E0001445917</v>
      </c>
      <c r="E408" s="2" t="s">
        <v>168</v>
      </c>
      <c r="F408" s="2" t="s">
        <v>162</v>
      </c>
    </row>
    <row r="409" spans="1:6" x14ac:dyDescent="0.25">
      <c r="A409" s="2" t="s">
        <v>42</v>
      </c>
      <c r="B409" s="2" t="s">
        <v>43</v>
      </c>
      <c r="C409" s="4">
        <v>45918</v>
      </c>
      <c r="D409" s="4" t="str">
        <f t="shared" si="6"/>
        <v>E0001445918</v>
      </c>
      <c r="E409" s="2" t="s">
        <v>169</v>
      </c>
      <c r="F409" s="2" t="s">
        <v>162</v>
      </c>
    </row>
    <row r="410" spans="1:6" x14ac:dyDescent="0.25">
      <c r="A410" s="2" t="s">
        <v>42</v>
      </c>
      <c r="B410" s="2" t="s">
        <v>43</v>
      </c>
      <c r="C410" s="4">
        <v>45919</v>
      </c>
      <c r="D410" s="4" t="str">
        <f t="shared" si="6"/>
        <v>E0001445919</v>
      </c>
      <c r="E410" s="2" t="s">
        <v>170</v>
      </c>
      <c r="F410" s="2" t="s">
        <v>162</v>
      </c>
    </row>
    <row r="411" spans="1:6" x14ac:dyDescent="0.25">
      <c r="A411" s="2" t="s">
        <v>42</v>
      </c>
      <c r="B411" s="2" t="s">
        <v>43</v>
      </c>
      <c r="C411" s="4">
        <v>45920</v>
      </c>
      <c r="D411" s="4" t="str">
        <f t="shared" si="6"/>
        <v>E0001445920</v>
      </c>
      <c r="E411" s="2" t="s">
        <v>171</v>
      </c>
      <c r="F411" s="2" t="s">
        <v>162</v>
      </c>
    </row>
    <row r="412" spans="1:6" x14ac:dyDescent="0.25">
      <c r="A412" s="2" t="s">
        <v>42</v>
      </c>
      <c r="B412" s="2" t="s">
        <v>43</v>
      </c>
      <c r="C412" s="4">
        <v>45921</v>
      </c>
      <c r="D412" s="4" t="str">
        <f t="shared" si="6"/>
        <v>E0001445921</v>
      </c>
      <c r="E412" s="2" t="s">
        <v>172</v>
      </c>
      <c r="F412" s="2" t="s">
        <v>164</v>
      </c>
    </row>
    <row r="413" spans="1:6" x14ac:dyDescent="0.25">
      <c r="A413" s="2" t="s">
        <v>42</v>
      </c>
      <c r="B413" s="2" t="s">
        <v>43</v>
      </c>
      <c r="C413" s="4">
        <v>45922</v>
      </c>
      <c r="D413" s="4" t="str">
        <f t="shared" si="6"/>
        <v>E0001445922</v>
      </c>
      <c r="E413" s="2" t="s">
        <v>166</v>
      </c>
      <c r="F413" s="2" t="s">
        <v>162</v>
      </c>
    </row>
    <row r="414" spans="1:6" x14ac:dyDescent="0.25">
      <c r="A414" s="2" t="s">
        <v>42</v>
      </c>
      <c r="B414" s="2" t="s">
        <v>43</v>
      </c>
      <c r="C414" s="4">
        <v>45923</v>
      </c>
      <c r="D414" s="4" t="str">
        <f t="shared" si="6"/>
        <v>E0001445923</v>
      </c>
      <c r="E414" s="2" t="s">
        <v>167</v>
      </c>
      <c r="F414" s="2" t="s">
        <v>162</v>
      </c>
    </row>
    <row r="415" spans="1:6" x14ac:dyDescent="0.25">
      <c r="A415" s="2" t="s">
        <v>42</v>
      </c>
      <c r="B415" s="2" t="s">
        <v>43</v>
      </c>
      <c r="C415" s="4">
        <v>45924</v>
      </c>
      <c r="D415" s="4" t="str">
        <f t="shared" si="6"/>
        <v>E0001445924</v>
      </c>
      <c r="E415" s="2" t="s">
        <v>168</v>
      </c>
      <c r="F415" s="2" t="s">
        <v>162</v>
      </c>
    </row>
    <row r="416" spans="1:6" x14ac:dyDescent="0.25">
      <c r="A416" s="2" t="s">
        <v>42</v>
      </c>
      <c r="B416" s="2" t="s">
        <v>43</v>
      </c>
      <c r="C416" s="4">
        <v>45925</v>
      </c>
      <c r="D416" s="4" t="str">
        <f t="shared" si="6"/>
        <v>E0001445925</v>
      </c>
      <c r="E416" s="2" t="s">
        <v>169</v>
      </c>
      <c r="F416" s="2" t="s">
        <v>163</v>
      </c>
    </row>
    <row r="417" spans="1:6" x14ac:dyDescent="0.25">
      <c r="A417" s="2" t="s">
        <v>42</v>
      </c>
      <c r="B417" s="2" t="s">
        <v>43</v>
      </c>
      <c r="C417" s="4">
        <v>45926</v>
      </c>
      <c r="D417" s="4" t="str">
        <f t="shared" si="6"/>
        <v>E0001445926</v>
      </c>
      <c r="E417" s="2" t="s">
        <v>170</v>
      </c>
      <c r="F417" s="2" t="s">
        <v>162</v>
      </c>
    </row>
    <row r="418" spans="1:6" x14ac:dyDescent="0.25">
      <c r="A418" s="2" t="s">
        <v>42</v>
      </c>
      <c r="B418" s="2" t="s">
        <v>43</v>
      </c>
      <c r="C418" s="4">
        <v>45927</v>
      </c>
      <c r="D418" s="4" t="str">
        <f t="shared" si="6"/>
        <v>E0001445927</v>
      </c>
      <c r="E418" s="2" t="s">
        <v>171</v>
      </c>
      <c r="F418" s="2" t="s">
        <v>162</v>
      </c>
    </row>
    <row r="419" spans="1:6" x14ac:dyDescent="0.25">
      <c r="A419" s="2" t="s">
        <v>42</v>
      </c>
      <c r="B419" s="2" t="s">
        <v>43</v>
      </c>
      <c r="C419" s="4">
        <v>45928</v>
      </c>
      <c r="D419" s="4" t="str">
        <f t="shared" si="6"/>
        <v>E0001445928</v>
      </c>
      <c r="E419" s="2" t="s">
        <v>172</v>
      </c>
      <c r="F419" s="2" t="s">
        <v>164</v>
      </c>
    </row>
    <row r="420" spans="1:6" x14ac:dyDescent="0.25">
      <c r="A420" s="2" t="s">
        <v>42</v>
      </c>
      <c r="B420" s="2" t="s">
        <v>43</v>
      </c>
      <c r="C420" s="4">
        <v>45929</v>
      </c>
      <c r="D420" s="4" t="str">
        <f t="shared" si="6"/>
        <v>E0001445929</v>
      </c>
      <c r="E420" s="2" t="s">
        <v>166</v>
      </c>
      <c r="F420" s="2" t="s">
        <v>162</v>
      </c>
    </row>
    <row r="421" spans="1:6" x14ac:dyDescent="0.25">
      <c r="A421" s="2" t="s">
        <v>42</v>
      </c>
      <c r="B421" s="2" t="s">
        <v>43</v>
      </c>
      <c r="C421" s="4">
        <v>45930</v>
      </c>
      <c r="D421" s="4" t="str">
        <f t="shared" si="6"/>
        <v>E0001445930</v>
      </c>
      <c r="E421" s="2" t="s">
        <v>167</v>
      </c>
      <c r="F421" s="2" t="s">
        <v>165</v>
      </c>
    </row>
    <row r="422" spans="1:6" x14ac:dyDescent="0.25">
      <c r="A422" s="2" t="s">
        <v>44</v>
      </c>
      <c r="B422" s="2" t="s">
        <v>45</v>
      </c>
      <c r="C422" s="4">
        <v>45901</v>
      </c>
      <c r="D422" s="4" t="str">
        <f t="shared" si="6"/>
        <v>E0001545901</v>
      </c>
      <c r="E422" s="2" t="s">
        <v>166</v>
      </c>
      <c r="F422" s="2" t="s">
        <v>162</v>
      </c>
    </row>
    <row r="423" spans="1:6" x14ac:dyDescent="0.25">
      <c r="A423" s="2" t="s">
        <v>44</v>
      </c>
      <c r="B423" s="2" t="s">
        <v>45</v>
      </c>
      <c r="C423" s="4">
        <v>45902</v>
      </c>
      <c r="D423" s="4" t="str">
        <f t="shared" si="6"/>
        <v>E0001545902</v>
      </c>
      <c r="E423" s="2" t="s">
        <v>167</v>
      </c>
      <c r="F423" s="2" t="s">
        <v>162</v>
      </c>
    </row>
    <row r="424" spans="1:6" x14ac:dyDescent="0.25">
      <c r="A424" s="2" t="s">
        <v>44</v>
      </c>
      <c r="B424" s="2" t="s">
        <v>45</v>
      </c>
      <c r="C424" s="4">
        <v>45903</v>
      </c>
      <c r="D424" s="4" t="str">
        <f t="shared" si="6"/>
        <v>E0001545903</v>
      </c>
      <c r="E424" s="2" t="s">
        <v>168</v>
      </c>
      <c r="F424" s="2" t="s">
        <v>162</v>
      </c>
    </row>
    <row r="425" spans="1:6" x14ac:dyDescent="0.25">
      <c r="A425" s="2" t="s">
        <v>44</v>
      </c>
      <c r="B425" s="2" t="s">
        <v>45</v>
      </c>
      <c r="C425" s="4">
        <v>45904</v>
      </c>
      <c r="D425" s="4" t="str">
        <f t="shared" si="6"/>
        <v>E0001545904</v>
      </c>
      <c r="E425" s="2" t="s">
        <v>169</v>
      </c>
      <c r="F425" s="2" t="s">
        <v>165</v>
      </c>
    </row>
    <row r="426" spans="1:6" x14ac:dyDescent="0.25">
      <c r="A426" s="2" t="s">
        <v>44</v>
      </c>
      <c r="B426" s="2" t="s">
        <v>45</v>
      </c>
      <c r="C426" s="4">
        <v>45905</v>
      </c>
      <c r="D426" s="4" t="str">
        <f t="shared" si="6"/>
        <v>E0001545905</v>
      </c>
      <c r="E426" s="2" t="s">
        <v>170</v>
      </c>
      <c r="F426" s="2" t="s">
        <v>162</v>
      </c>
    </row>
    <row r="427" spans="1:6" x14ac:dyDescent="0.25">
      <c r="A427" s="2" t="s">
        <v>44</v>
      </c>
      <c r="B427" s="2" t="s">
        <v>45</v>
      </c>
      <c r="C427" s="4">
        <v>45906</v>
      </c>
      <c r="D427" s="4" t="str">
        <f t="shared" si="6"/>
        <v>E0001545906</v>
      </c>
      <c r="E427" s="2" t="s">
        <v>171</v>
      </c>
      <c r="F427" s="2" t="s">
        <v>162</v>
      </c>
    </row>
    <row r="428" spans="1:6" x14ac:dyDescent="0.25">
      <c r="A428" s="2" t="s">
        <v>44</v>
      </c>
      <c r="B428" s="2" t="s">
        <v>45</v>
      </c>
      <c r="C428" s="4">
        <v>45907</v>
      </c>
      <c r="D428" s="4" t="str">
        <f t="shared" si="6"/>
        <v>E0001545907</v>
      </c>
      <c r="E428" s="2" t="s">
        <v>172</v>
      </c>
      <c r="F428" s="2" t="s">
        <v>164</v>
      </c>
    </row>
    <row r="429" spans="1:6" x14ac:dyDescent="0.25">
      <c r="A429" s="2" t="s">
        <v>44</v>
      </c>
      <c r="B429" s="2" t="s">
        <v>45</v>
      </c>
      <c r="C429" s="4">
        <v>45908</v>
      </c>
      <c r="D429" s="4" t="str">
        <f t="shared" si="6"/>
        <v>E0001545908</v>
      </c>
      <c r="E429" s="2" t="s">
        <v>166</v>
      </c>
      <c r="F429" s="2" t="s">
        <v>163</v>
      </c>
    </row>
    <row r="430" spans="1:6" x14ac:dyDescent="0.25">
      <c r="A430" s="2" t="s">
        <v>44</v>
      </c>
      <c r="B430" s="2" t="s">
        <v>45</v>
      </c>
      <c r="C430" s="4">
        <v>45909</v>
      </c>
      <c r="D430" s="4" t="str">
        <f t="shared" si="6"/>
        <v>E0001545909</v>
      </c>
      <c r="E430" s="2" t="s">
        <v>167</v>
      </c>
      <c r="F430" s="2" t="s">
        <v>165</v>
      </c>
    </row>
    <row r="431" spans="1:6" x14ac:dyDescent="0.25">
      <c r="A431" s="2" t="s">
        <v>44</v>
      </c>
      <c r="B431" s="2" t="s">
        <v>45</v>
      </c>
      <c r="C431" s="4">
        <v>45910</v>
      </c>
      <c r="D431" s="4" t="str">
        <f t="shared" si="6"/>
        <v>E0001545910</v>
      </c>
      <c r="E431" s="2" t="s">
        <v>168</v>
      </c>
      <c r="F431" s="2" t="s">
        <v>162</v>
      </c>
    </row>
    <row r="432" spans="1:6" x14ac:dyDescent="0.25">
      <c r="A432" s="2" t="s">
        <v>44</v>
      </c>
      <c r="B432" s="2" t="s">
        <v>45</v>
      </c>
      <c r="C432" s="4">
        <v>45911</v>
      </c>
      <c r="D432" s="4" t="str">
        <f t="shared" si="6"/>
        <v>E0001545911</v>
      </c>
      <c r="E432" s="2" t="s">
        <v>169</v>
      </c>
      <c r="F432" s="2" t="s">
        <v>162</v>
      </c>
    </row>
    <row r="433" spans="1:6" x14ac:dyDescent="0.25">
      <c r="A433" s="2" t="s">
        <v>44</v>
      </c>
      <c r="B433" s="2" t="s">
        <v>45</v>
      </c>
      <c r="C433" s="4">
        <v>45912</v>
      </c>
      <c r="D433" s="4" t="str">
        <f t="shared" si="6"/>
        <v>E0001545912</v>
      </c>
      <c r="E433" s="2" t="s">
        <v>170</v>
      </c>
      <c r="F433" s="2" t="s">
        <v>162</v>
      </c>
    </row>
    <row r="434" spans="1:6" x14ac:dyDescent="0.25">
      <c r="A434" s="2" t="s">
        <v>44</v>
      </c>
      <c r="B434" s="2" t="s">
        <v>45</v>
      </c>
      <c r="C434" s="4">
        <v>45913</v>
      </c>
      <c r="D434" s="4" t="str">
        <f t="shared" si="6"/>
        <v>E0001545913</v>
      </c>
      <c r="E434" s="2" t="s">
        <v>171</v>
      </c>
      <c r="F434" s="2" t="s">
        <v>162</v>
      </c>
    </row>
    <row r="435" spans="1:6" x14ac:dyDescent="0.25">
      <c r="A435" s="2" t="s">
        <v>44</v>
      </c>
      <c r="B435" s="2" t="s">
        <v>45</v>
      </c>
      <c r="C435" s="4">
        <v>45914</v>
      </c>
      <c r="D435" s="4" t="str">
        <f t="shared" si="6"/>
        <v>E0001545914</v>
      </c>
      <c r="E435" s="2" t="s">
        <v>172</v>
      </c>
      <c r="F435" s="2" t="s">
        <v>164</v>
      </c>
    </row>
    <row r="436" spans="1:6" x14ac:dyDescent="0.25">
      <c r="A436" s="2" t="s">
        <v>44</v>
      </c>
      <c r="B436" s="2" t="s">
        <v>45</v>
      </c>
      <c r="C436" s="4">
        <v>45915</v>
      </c>
      <c r="D436" s="4" t="str">
        <f t="shared" si="6"/>
        <v>E0001545915</v>
      </c>
      <c r="E436" s="2" t="s">
        <v>166</v>
      </c>
      <c r="F436" s="2" t="s">
        <v>162</v>
      </c>
    </row>
    <row r="437" spans="1:6" x14ac:dyDescent="0.25">
      <c r="A437" s="2" t="s">
        <v>44</v>
      </c>
      <c r="B437" s="2" t="s">
        <v>45</v>
      </c>
      <c r="C437" s="4">
        <v>45916</v>
      </c>
      <c r="D437" s="4" t="str">
        <f t="shared" si="6"/>
        <v>E0001545916</v>
      </c>
      <c r="E437" s="2" t="s">
        <v>167</v>
      </c>
      <c r="F437" s="2" t="s">
        <v>162</v>
      </c>
    </row>
    <row r="438" spans="1:6" x14ac:dyDescent="0.25">
      <c r="A438" s="2" t="s">
        <v>44</v>
      </c>
      <c r="B438" s="2" t="s">
        <v>45</v>
      </c>
      <c r="C438" s="4">
        <v>45917</v>
      </c>
      <c r="D438" s="4" t="str">
        <f t="shared" si="6"/>
        <v>E0001545917</v>
      </c>
      <c r="E438" s="2" t="s">
        <v>168</v>
      </c>
      <c r="F438" s="2" t="s">
        <v>163</v>
      </c>
    </row>
    <row r="439" spans="1:6" x14ac:dyDescent="0.25">
      <c r="A439" s="2" t="s">
        <v>44</v>
      </c>
      <c r="B439" s="2" t="s">
        <v>45</v>
      </c>
      <c r="C439" s="4">
        <v>45918</v>
      </c>
      <c r="D439" s="4" t="str">
        <f t="shared" si="6"/>
        <v>E0001545918</v>
      </c>
      <c r="E439" s="2" t="s">
        <v>169</v>
      </c>
      <c r="F439" s="2" t="s">
        <v>162</v>
      </c>
    </row>
    <row r="440" spans="1:6" x14ac:dyDescent="0.25">
      <c r="A440" s="2" t="s">
        <v>44</v>
      </c>
      <c r="B440" s="2" t="s">
        <v>45</v>
      </c>
      <c r="C440" s="4">
        <v>45919</v>
      </c>
      <c r="D440" s="4" t="str">
        <f t="shared" si="6"/>
        <v>E0001545919</v>
      </c>
      <c r="E440" s="2" t="s">
        <v>170</v>
      </c>
      <c r="F440" s="2" t="s">
        <v>163</v>
      </c>
    </row>
    <row r="441" spans="1:6" x14ac:dyDescent="0.25">
      <c r="A441" s="2" t="s">
        <v>44</v>
      </c>
      <c r="B441" s="2" t="s">
        <v>45</v>
      </c>
      <c r="C441" s="4">
        <v>45920</v>
      </c>
      <c r="D441" s="4" t="str">
        <f t="shared" si="6"/>
        <v>E0001545920</v>
      </c>
      <c r="E441" s="2" t="s">
        <v>171</v>
      </c>
      <c r="F441" s="2" t="s">
        <v>165</v>
      </c>
    </row>
    <row r="442" spans="1:6" x14ac:dyDescent="0.25">
      <c r="A442" s="2" t="s">
        <v>44</v>
      </c>
      <c r="B442" s="2" t="s">
        <v>45</v>
      </c>
      <c r="C442" s="4">
        <v>45921</v>
      </c>
      <c r="D442" s="4" t="str">
        <f t="shared" si="6"/>
        <v>E0001545921</v>
      </c>
      <c r="E442" s="2" t="s">
        <v>172</v>
      </c>
      <c r="F442" s="2" t="s">
        <v>164</v>
      </c>
    </row>
    <row r="443" spans="1:6" x14ac:dyDescent="0.25">
      <c r="A443" s="2" t="s">
        <v>44</v>
      </c>
      <c r="B443" s="2" t="s">
        <v>45</v>
      </c>
      <c r="C443" s="4">
        <v>45922</v>
      </c>
      <c r="D443" s="4" t="str">
        <f t="shared" si="6"/>
        <v>E0001545922</v>
      </c>
      <c r="E443" s="2" t="s">
        <v>166</v>
      </c>
      <c r="F443" s="2" t="s">
        <v>163</v>
      </c>
    </row>
    <row r="444" spans="1:6" x14ac:dyDescent="0.25">
      <c r="A444" s="2" t="s">
        <v>44</v>
      </c>
      <c r="B444" s="2" t="s">
        <v>45</v>
      </c>
      <c r="C444" s="4">
        <v>45923</v>
      </c>
      <c r="D444" s="4" t="str">
        <f t="shared" si="6"/>
        <v>E0001545923</v>
      </c>
      <c r="E444" s="2" t="s">
        <v>167</v>
      </c>
      <c r="F444" s="2" t="s">
        <v>165</v>
      </c>
    </row>
    <row r="445" spans="1:6" x14ac:dyDescent="0.25">
      <c r="A445" s="2" t="s">
        <v>44</v>
      </c>
      <c r="B445" s="2" t="s">
        <v>45</v>
      </c>
      <c r="C445" s="4">
        <v>45924</v>
      </c>
      <c r="D445" s="4" t="str">
        <f t="shared" si="6"/>
        <v>E0001545924</v>
      </c>
      <c r="E445" s="2" t="s">
        <v>168</v>
      </c>
      <c r="F445" s="2" t="s">
        <v>162</v>
      </c>
    </row>
    <row r="446" spans="1:6" x14ac:dyDescent="0.25">
      <c r="A446" s="2" t="s">
        <v>44</v>
      </c>
      <c r="B446" s="2" t="s">
        <v>45</v>
      </c>
      <c r="C446" s="4">
        <v>45925</v>
      </c>
      <c r="D446" s="4" t="str">
        <f t="shared" si="6"/>
        <v>E0001545925</v>
      </c>
      <c r="E446" s="2" t="s">
        <v>169</v>
      </c>
      <c r="F446" s="2" t="s">
        <v>162</v>
      </c>
    </row>
    <row r="447" spans="1:6" x14ac:dyDescent="0.25">
      <c r="A447" s="2" t="s">
        <v>44</v>
      </c>
      <c r="B447" s="2" t="s">
        <v>45</v>
      </c>
      <c r="C447" s="4">
        <v>45926</v>
      </c>
      <c r="D447" s="4" t="str">
        <f t="shared" si="6"/>
        <v>E0001545926</v>
      </c>
      <c r="E447" s="2" t="s">
        <v>170</v>
      </c>
      <c r="F447" s="2" t="s">
        <v>162</v>
      </c>
    </row>
    <row r="448" spans="1:6" x14ac:dyDescent="0.25">
      <c r="A448" s="2" t="s">
        <v>44</v>
      </c>
      <c r="B448" s="2" t="s">
        <v>45</v>
      </c>
      <c r="C448" s="4">
        <v>45927</v>
      </c>
      <c r="D448" s="4" t="str">
        <f t="shared" si="6"/>
        <v>E0001545927</v>
      </c>
      <c r="E448" s="2" t="s">
        <v>171</v>
      </c>
      <c r="F448" s="2" t="s">
        <v>162</v>
      </c>
    </row>
    <row r="449" spans="1:6" x14ac:dyDescent="0.25">
      <c r="A449" s="2" t="s">
        <v>44</v>
      </c>
      <c r="B449" s="2" t="s">
        <v>45</v>
      </c>
      <c r="C449" s="4">
        <v>45928</v>
      </c>
      <c r="D449" s="4" t="str">
        <f t="shared" si="6"/>
        <v>E0001545928</v>
      </c>
      <c r="E449" s="2" t="s">
        <v>172</v>
      </c>
      <c r="F449" s="2" t="s">
        <v>164</v>
      </c>
    </row>
    <row r="450" spans="1:6" x14ac:dyDescent="0.25">
      <c r="A450" s="2" t="s">
        <v>44</v>
      </c>
      <c r="B450" s="2" t="s">
        <v>45</v>
      </c>
      <c r="C450" s="4">
        <v>45929</v>
      </c>
      <c r="D450" s="4" t="str">
        <f t="shared" si="6"/>
        <v>E0001545929</v>
      </c>
      <c r="E450" s="2" t="s">
        <v>166</v>
      </c>
      <c r="F450" s="2" t="s">
        <v>163</v>
      </c>
    </row>
    <row r="451" spans="1:6" x14ac:dyDescent="0.25">
      <c r="A451" s="2" t="s">
        <v>44</v>
      </c>
      <c r="B451" s="2" t="s">
        <v>45</v>
      </c>
      <c r="C451" s="4">
        <v>45930</v>
      </c>
      <c r="D451" s="4" t="str">
        <f t="shared" ref="D451:D514" si="7">A451&amp;C451</f>
        <v>E0001545930</v>
      </c>
      <c r="E451" s="2" t="s">
        <v>167</v>
      </c>
      <c r="F451" s="2" t="s">
        <v>162</v>
      </c>
    </row>
    <row r="452" spans="1:6" x14ac:dyDescent="0.25">
      <c r="A452" s="2" t="s">
        <v>46</v>
      </c>
      <c r="B452" s="2" t="s">
        <v>47</v>
      </c>
      <c r="C452" s="4">
        <v>45901</v>
      </c>
      <c r="D452" s="4" t="str">
        <f t="shared" si="7"/>
        <v>E0001645901</v>
      </c>
      <c r="E452" s="2" t="s">
        <v>166</v>
      </c>
      <c r="F452" s="2" t="s">
        <v>165</v>
      </c>
    </row>
    <row r="453" spans="1:6" x14ac:dyDescent="0.25">
      <c r="A453" s="2" t="s">
        <v>46</v>
      </c>
      <c r="B453" s="2" t="s">
        <v>47</v>
      </c>
      <c r="C453" s="4">
        <v>45902</v>
      </c>
      <c r="D453" s="4" t="str">
        <f t="shared" si="7"/>
        <v>E0001645902</v>
      </c>
      <c r="E453" s="2" t="s">
        <v>167</v>
      </c>
      <c r="F453" s="2" t="s">
        <v>162</v>
      </c>
    </row>
    <row r="454" spans="1:6" x14ac:dyDescent="0.25">
      <c r="A454" s="2" t="s">
        <v>46</v>
      </c>
      <c r="B454" s="2" t="s">
        <v>47</v>
      </c>
      <c r="C454" s="4">
        <v>45903</v>
      </c>
      <c r="D454" s="4" t="str">
        <f t="shared" si="7"/>
        <v>E0001645903</v>
      </c>
      <c r="E454" s="2" t="s">
        <v>168</v>
      </c>
      <c r="F454" s="2" t="s">
        <v>165</v>
      </c>
    </row>
    <row r="455" spans="1:6" x14ac:dyDescent="0.25">
      <c r="A455" s="2" t="s">
        <v>46</v>
      </c>
      <c r="B455" s="2" t="s">
        <v>47</v>
      </c>
      <c r="C455" s="4">
        <v>45904</v>
      </c>
      <c r="D455" s="4" t="str">
        <f t="shared" si="7"/>
        <v>E0001645904</v>
      </c>
      <c r="E455" s="2" t="s">
        <v>169</v>
      </c>
      <c r="F455" s="2" t="s">
        <v>165</v>
      </c>
    </row>
    <row r="456" spans="1:6" x14ac:dyDescent="0.25">
      <c r="A456" s="2" t="s">
        <v>46</v>
      </c>
      <c r="B456" s="2" t="s">
        <v>47</v>
      </c>
      <c r="C456" s="4">
        <v>45905</v>
      </c>
      <c r="D456" s="4" t="str">
        <f t="shared" si="7"/>
        <v>E0001645905</v>
      </c>
      <c r="E456" s="2" t="s">
        <v>170</v>
      </c>
      <c r="F456" s="2" t="s">
        <v>165</v>
      </c>
    </row>
    <row r="457" spans="1:6" x14ac:dyDescent="0.25">
      <c r="A457" s="2" t="s">
        <v>46</v>
      </c>
      <c r="B457" s="2" t="s">
        <v>47</v>
      </c>
      <c r="C457" s="4">
        <v>45906</v>
      </c>
      <c r="D457" s="4" t="str">
        <f t="shared" si="7"/>
        <v>E0001645906</v>
      </c>
      <c r="E457" s="2" t="s">
        <v>171</v>
      </c>
      <c r="F457" s="2" t="s">
        <v>165</v>
      </c>
    </row>
    <row r="458" spans="1:6" x14ac:dyDescent="0.25">
      <c r="A458" s="2" t="s">
        <v>46</v>
      </c>
      <c r="B458" s="2" t="s">
        <v>47</v>
      </c>
      <c r="C458" s="4">
        <v>45907</v>
      </c>
      <c r="D458" s="4" t="str">
        <f t="shared" si="7"/>
        <v>E0001645907</v>
      </c>
      <c r="E458" s="2" t="s">
        <v>172</v>
      </c>
      <c r="F458" s="2" t="s">
        <v>164</v>
      </c>
    </row>
    <row r="459" spans="1:6" x14ac:dyDescent="0.25">
      <c r="A459" s="2" t="s">
        <v>46</v>
      </c>
      <c r="B459" s="2" t="s">
        <v>47</v>
      </c>
      <c r="C459" s="4">
        <v>45908</v>
      </c>
      <c r="D459" s="4" t="str">
        <f t="shared" si="7"/>
        <v>E0001645908</v>
      </c>
      <c r="E459" s="2" t="s">
        <v>166</v>
      </c>
      <c r="F459" s="2" t="s">
        <v>162</v>
      </c>
    </row>
    <row r="460" spans="1:6" x14ac:dyDescent="0.25">
      <c r="A460" s="2" t="s">
        <v>46</v>
      </c>
      <c r="B460" s="2" t="s">
        <v>47</v>
      </c>
      <c r="C460" s="4">
        <v>45909</v>
      </c>
      <c r="D460" s="4" t="str">
        <f t="shared" si="7"/>
        <v>E0001645909</v>
      </c>
      <c r="E460" s="2" t="s">
        <v>167</v>
      </c>
      <c r="F460" s="2" t="s">
        <v>162</v>
      </c>
    </row>
    <row r="461" spans="1:6" x14ac:dyDescent="0.25">
      <c r="A461" s="2" t="s">
        <v>46</v>
      </c>
      <c r="B461" s="2" t="s">
        <v>47</v>
      </c>
      <c r="C461" s="4">
        <v>45910</v>
      </c>
      <c r="D461" s="4" t="str">
        <f t="shared" si="7"/>
        <v>E0001645910</v>
      </c>
      <c r="E461" s="2" t="s">
        <v>168</v>
      </c>
      <c r="F461" s="2" t="s">
        <v>162</v>
      </c>
    </row>
    <row r="462" spans="1:6" x14ac:dyDescent="0.25">
      <c r="A462" s="2" t="s">
        <v>46</v>
      </c>
      <c r="B462" s="2" t="s">
        <v>47</v>
      </c>
      <c r="C462" s="4">
        <v>45911</v>
      </c>
      <c r="D462" s="4" t="str">
        <f t="shared" si="7"/>
        <v>E0001645911</v>
      </c>
      <c r="E462" s="2" t="s">
        <v>169</v>
      </c>
      <c r="F462" s="2" t="s">
        <v>162</v>
      </c>
    </row>
    <row r="463" spans="1:6" x14ac:dyDescent="0.25">
      <c r="A463" s="2" t="s">
        <v>46</v>
      </c>
      <c r="B463" s="2" t="s">
        <v>47</v>
      </c>
      <c r="C463" s="4">
        <v>45912</v>
      </c>
      <c r="D463" s="4" t="str">
        <f t="shared" si="7"/>
        <v>E0001645912</v>
      </c>
      <c r="E463" s="2" t="s">
        <v>170</v>
      </c>
      <c r="F463" s="2" t="s">
        <v>165</v>
      </c>
    </row>
    <row r="464" spans="1:6" x14ac:dyDescent="0.25">
      <c r="A464" s="2" t="s">
        <v>46</v>
      </c>
      <c r="B464" s="2" t="s">
        <v>47</v>
      </c>
      <c r="C464" s="4">
        <v>45913</v>
      </c>
      <c r="D464" s="4" t="str">
        <f t="shared" si="7"/>
        <v>E0001645913</v>
      </c>
      <c r="E464" s="2" t="s">
        <v>171</v>
      </c>
      <c r="F464" s="2" t="s">
        <v>162</v>
      </c>
    </row>
    <row r="465" spans="1:6" x14ac:dyDescent="0.25">
      <c r="A465" s="2" t="s">
        <v>46</v>
      </c>
      <c r="B465" s="2" t="s">
        <v>47</v>
      </c>
      <c r="C465" s="4">
        <v>45914</v>
      </c>
      <c r="D465" s="4" t="str">
        <f t="shared" si="7"/>
        <v>E0001645914</v>
      </c>
      <c r="E465" s="2" t="s">
        <v>172</v>
      </c>
      <c r="F465" s="2" t="s">
        <v>164</v>
      </c>
    </row>
    <row r="466" spans="1:6" x14ac:dyDescent="0.25">
      <c r="A466" s="2" t="s">
        <v>46</v>
      </c>
      <c r="B466" s="2" t="s">
        <v>47</v>
      </c>
      <c r="C466" s="4">
        <v>45915</v>
      </c>
      <c r="D466" s="4" t="str">
        <f t="shared" si="7"/>
        <v>E0001645915</v>
      </c>
      <c r="E466" s="2" t="s">
        <v>166</v>
      </c>
      <c r="F466" s="2" t="s">
        <v>162</v>
      </c>
    </row>
    <row r="467" spans="1:6" x14ac:dyDescent="0.25">
      <c r="A467" s="2" t="s">
        <v>46</v>
      </c>
      <c r="B467" s="2" t="s">
        <v>47</v>
      </c>
      <c r="C467" s="4">
        <v>45916</v>
      </c>
      <c r="D467" s="4" t="str">
        <f t="shared" si="7"/>
        <v>E0001645916</v>
      </c>
      <c r="E467" s="2" t="s">
        <v>167</v>
      </c>
      <c r="F467" s="2" t="s">
        <v>162</v>
      </c>
    </row>
    <row r="468" spans="1:6" x14ac:dyDescent="0.25">
      <c r="A468" s="2" t="s">
        <v>46</v>
      </c>
      <c r="B468" s="2" t="s">
        <v>47</v>
      </c>
      <c r="C468" s="4">
        <v>45917</v>
      </c>
      <c r="D468" s="4" t="str">
        <f t="shared" si="7"/>
        <v>E0001645917</v>
      </c>
      <c r="E468" s="2" t="s">
        <v>168</v>
      </c>
      <c r="F468" s="2" t="s">
        <v>162</v>
      </c>
    </row>
    <row r="469" spans="1:6" x14ac:dyDescent="0.25">
      <c r="A469" s="2" t="s">
        <v>46</v>
      </c>
      <c r="B469" s="2" t="s">
        <v>47</v>
      </c>
      <c r="C469" s="4">
        <v>45918</v>
      </c>
      <c r="D469" s="4" t="str">
        <f t="shared" si="7"/>
        <v>E0001645918</v>
      </c>
      <c r="E469" s="2" t="s">
        <v>169</v>
      </c>
      <c r="F469" s="2" t="s">
        <v>165</v>
      </c>
    </row>
    <row r="470" spans="1:6" x14ac:dyDescent="0.25">
      <c r="A470" s="2" t="s">
        <v>46</v>
      </c>
      <c r="B470" s="2" t="s">
        <v>47</v>
      </c>
      <c r="C470" s="4">
        <v>45919</v>
      </c>
      <c r="D470" s="4" t="str">
        <f t="shared" si="7"/>
        <v>E0001645919</v>
      </c>
      <c r="E470" s="2" t="s">
        <v>170</v>
      </c>
      <c r="F470" s="2" t="s">
        <v>162</v>
      </c>
    </row>
    <row r="471" spans="1:6" x14ac:dyDescent="0.25">
      <c r="A471" s="2" t="s">
        <v>46</v>
      </c>
      <c r="B471" s="2" t="s">
        <v>47</v>
      </c>
      <c r="C471" s="4">
        <v>45920</v>
      </c>
      <c r="D471" s="4" t="str">
        <f t="shared" si="7"/>
        <v>E0001645920</v>
      </c>
      <c r="E471" s="2" t="s">
        <v>171</v>
      </c>
      <c r="F471" s="2" t="s">
        <v>165</v>
      </c>
    </row>
    <row r="472" spans="1:6" x14ac:dyDescent="0.25">
      <c r="A472" s="2" t="s">
        <v>46</v>
      </c>
      <c r="B472" s="2" t="s">
        <v>47</v>
      </c>
      <c r="C472" s="4">
        <v>45921</v>
      </c>
      <c r="D472" s="4" t="str">
        <f t="shared" si="7"/>
        <v>E0001645921</v>
      </c>
      <c r="E472" s="2" t="s">
        <v>172</v>
      </c>
      <c r="F472" s="2" t="s">
        <v>164</v>
      </c>
    </row>
    <row r="473" spans="1:6" x14ac:dyDescent="0.25">
      <c r="A473" s="2" t="s">
        <v>46</v>
      </c>
      <c r="B473" s="2" t="s">
        <v>47</v>
      </c>
      <c r="C473" s="4">
        <v>45922</v>
      </c>
      <c r="D473" s="4" t="str">
        <f t="shared" si="7"/>
        <v>E0001645922</v>
      </c>
      <c r="E473" s="2" t="s">
        <v>166</v>
      </c>
      <c r="F473" s="2" t="s">
        <v>162</v>
      </c>
    </row>
    <row r="474" spans="1:6" x14ac:dyDescent="0.25">
      <c r="A474" s="2" t="s">
        <v>46</v>
      </c>
      <c r="B474" s="2" t="s">
        <v>47</v>
      </c>
      <c r="C474" s="4">
        <v>45923</v>
      </c>
      <c r="D474" s="4" t="str">
        <f t="shared" si="7"/>
        <v>E0001645923</v>
      </c>
      <c r="E474" s="2" t="s">
        <v>167</v>
      </c>
      <c r="F474" s="2" t="s">
        <v>162</v>
      </c>
    </row>
    <row r="475" spans="1:6" x14ac:dyDescent="0.25">
      <c r="A475" s="2" t="s">
        <v>46</v>
      </c>
      <c r="B475" s="2" t="s">
        <v>47</v>
      </c>
      <c r="C475" s="4">
        <v>45924</v>
      </c>
      <c r="D475" s="4" t="str">
        <f t="shared" si="7"/>
        <v>E0001645924</v>
      </c>
      <c r="E475" s="2" t="s">
        <v>168</v>
      </c>
      <c r="F475" s="2" t="s">
        <v>162</v>
      </c>
    </row>
    <row r="476" spans="1:6" x14ac:dyDescent="0.25">
      <c r="A476" s="2" t="s">
        <v>46</v>
      </c>
      <c r="B476" s="2" t="s">
        <v>47</v>
      </c>
      <c r="C476" s="4">
        <v>45925</v>
      </c>
      <c r="D476" s="4" t="str">
        <f t="shared" si="7"/>
        <v>E0001645925</v>
      </c>
      <c r="E476" s="2" t="s">
        <v>169</v>
      </c>
      <c r="F476" s="2" t="s">
        <v>165</v>
      </c>
    </row>
    <row r="477" spans="1:6" x14ac:dyDescent="0.25">
      <c r="A477" s="2" t="s">
        <v>46</v>
      </c>
      <c r="B477" s="2" t="s">
        <v>47</v>
      </c>
      <c r="C477" s="4">
        <v>45926</v>
      </c>
      <c r="D477" s="4" t="str">
        <f t="shared" si="7"/>
        <v>E0001645926</v>
      </c>
      <c r="E477" s="2" t="s">
        <v>170</v>
      </c>
      <c r="F477" s="2" t="s">
        <v>162</v>
      </c>
    </row>
    <row r="478" spans="1:6" x14ac:dyDescent="0.25">
      <c r="A478" s="2" t="s">
        <v>46</v>
      </c>
      <c r="B478" s="2" t="s">
        <v>47</v>
      </c>
      <c r="C478" s="4">
        <v>45927</v>
      </c>
      <c r="D478" s="4" t="str">
        <f t="shared" si="7"/>
        <v>E0001645927</v>
      </c>
      <c r="E478" s="2" t="s">
        <v>171</v>
      </c>
      <c r="F478" s="2" t="s">
        <v>162</v>
      </c>
    </row>
    <row r="479" spans="1:6" x14ac:dyDescent="0.25">
      <c r="A479" s="2" t="s">
        <v>46</v>
      </c>
      <c r="B479" s="2" t="s">
        <v>47</v>
      </c>
      <c r="C479" s="4">
        <v>45928</v>
      </c>
      <c r="D479" s="4" t="str">
        <f t="shared" si="7"/>
        <v>E0001645928</v>
      </c>
      <c r="E479" s="2" t="s">
        <v>172</v>
      </c>
      <c r="F479" s="2" t="s">
        <v>164</v>
      </c>
    </row>
    <row r="480" spans="1:6" x14ac:dyDescent="0.25">
      <c r="A480" s="2" t="s">
        <v>46</v>
      </c>
      <c r="B480" s="2" t="s">
        <v>47</v>
      </c>
      <c r="C480" s="4">
        <v>45929</v>
      </c>
      <c r="D480" s="4" t="str">
        <f t="shared" si="7"/>
        <v>E0001645929</v>
      </c>
      <c r="E480" s="2" t="s">
        <v>166</v>
      </c>
      <c r="F480" s="2" t="s">
        <v>162</v>
      </c>
    </row>
    <row r="481" spans="1:6" x14ac:dyDescent="0.25">
      <c r="A481" s="2" t="s">
        <v>46</v>
      </c>
      <c r="B481" s="2" t="s">
        <v>47</v>
      </c>
      <c r="C481" s="4">
        <v>45930</v>
      </c>
      <c r="D481" s="4" t="str">
        <f t="shared" si="7"/>
        <v>E0001645930</v>
      </c>
      <c r="E481" s="2" t="s">
        <v>167</v>
      </c>
      <c r="F481" s="2" t="s">
        <v>163</v>
      </c>
    </row>
    <row r="482" spans="1:6" x14ac:dyDescent="0.25">
      <c r="A482" s="2" t="s">
        <v>48</v>
      </c>
      <c r="B482" s="2" t="s">
        <v>49</v>
      </c>
      <c r="C482" s="4">
        <v>45901</v>
      </c>
      <c r="D482" s="4" t="str">
        <f t="shared" si="7"/>
        <v>E0001745901</v>
      </c>
      <c r="E482" s="2" t="s">
        <v>166</v>
      </c>
      <c r="F482" s="2" t="s">
        <v>162</v>
      </c>
    </row>
    <row r="483" spans="1:6" x14ac:dyDescent="0.25">
      <c r="A483" s="2" t="s">
        <v>48</v>
      </c>
      <c r="B483" s="2" t="s">
        <v>49</v>
      </c>
      <c r="C483" s="4">
        <v>45902</v>
      </c>
      <c r="D483" s="4" t="str">
        <f t="shared" si="7"/>
        <v>E0001745902</v>
      </c>
      <c r="E483" s="2" t="s">
        <v>167</v>
      </c>
      <c r="F483" s="2" t="s">
        <v>163</v>
      </c>
    </row>
    <row r="484" spans="1:6" x14ac:dyDescent="0.25">
      <c r="A484" s="2" t="s">
        <v>48</v>
      </c>
      <c r="B484" s="2" t="s">
        <v>49</v>
      </c>
      <c r="C484" s="4">
        <v>45903</v>
      </c>
      <c r="D484" s="4" t="str">
        <f t="shared" si="7"/>
        <v>E0001745903</v>
      </c>
      <c r="E484" s="2" t="s">
        <v>168</v>
      </c>
      <c r="F484" s="2" t="s">
        <v>162</v>
      </c>
    </row>
    <row r="485" spans="1:6" x14ac:dyDescent="0.25">
      <c r="A485" s="2" t="s">
        <v>48</v>
      </c>
      <c r="B485" s="2" t="s">
        <v>49</v>
      </c>
      <c r="C485" s="4">
        <v>45904</v>
      </c>
      <c r="D485" s="4" t="str">
        <f t="shared" si="7"/>
        <v>E0001745904</v>
      </c>
      <c r="E485" s="2" t="s">
        <v>169</v>
      </c>
      <c r="F485" s="2" t="s">
        <v>165</v>
      </c>
    </row>
    <row r="486" spans="1:6" x14ac:dyDescent="0.25">
      <c r="A486" s="2" t="s">
        <v>48</v>
      </c>
      <c r="B486" s="2" t="s">
        <v>49</v>
      </c>
      <c r="C486" s="4">
        <v>45905</v>
      </c>
      <c r="D486" s="4" t="str">
        <f t="shared" si="7"/>
        <v>E0001745905</v>
      </c>
      <c r="E486" s="2" t="s">
        <v>170</v>
      </c>
      <c r="F486" s="2" t="s">
        <v>162</v>
      </c>
    </row>
    <row r="487" spans="1:6" x14ac:dyDescent="0.25">
      <c r="A487" s="2" t="s">
        <v>48</v>
      </c>
      <c r="B487" s="2" t="s">
        <v>49</v>
      </c>
      <c r="C487" s="4">
        <v>45906</v>
      </c>
      <c r="D487" s="4" t="str">
        <f t="shared" si="7"/>
        <v>E0001745906</v>
      </c>
      <c r="E487" s="2" t="s">
        <v>171</v>
      </c>
      <c r="F487" s="2" t="s">
        <v>162</v>
      </c>
    </row>
    <row r="488" spans="1:6" x14ac:dyDescent="0.25">
      <c r="A488" s="2" t="s">
        <v>48</v>
      </c>
      <c r="B488" s="2" t="s">
        <v>49</v>
      </c>
      <c r="C488" s="4">
        <v>45907</v>
      </c>
      <c r="D488" s="4" t="str">
        <f t="shared" si="7"/>
        <v>E0001745907</v>
      </c>
      <c r="E488" s="2" t="s">
        <v>172</v>
      </c>
      <c r="F488" s="2" t="s">
        <v>164</v>
      </c>
    </row>
    <row r="489" spans="1:6" x14ac:dyDescent="0.25">
      <c r="A489" s="2" t="s">
        <v>48</v>
      </c>
      <c r="B489" s="2" t="s">
        <v>49</v>
      </c>
      <c r="C489" s="4">
        <v>45908</v>
      </c>
      <c r="D489" s="4" t="str">
        <f t="shared" si="7"/>
        <v>E0001745908</v>
      </c>
      <c r="E489" s="2" t="s">
        <v>166</v>
      </c>
      <c r="F489" s="2" t="s">
        <v>163</v>
      </c>
    </row>
    <row r="490" spans="1:6" x14ac:dyDescent="0.25">
      <c r="A490" s="2" t="s">
        <v>48</v>
      </c>
      <c r="B490" s="2" t="s">
        <v>49</v>
      </c>
      <c r="C490" s="4">
        <v>45909</v>
      </c>
      <c r="D490" s="4" t="str">
        <f t="shared" si="7"/>
        <v>E0001745909</v>
      </c>
      <c r="E490" s="2" t="s">
        <v>167</v>
      </c>
      <c r="F490" s="2" t="s">
        <v>163</v>
      </c>
    </row>
    <row r="491" spans="1:6" x14ac:dyDescent="0.25">
      <c r="A491" s="2" t="s">
        <v>48</v>
      </c>
      <c r="B491" s="2" t="s">
        <v>49</v>
      </c>
      <c r="C491" s="4">
        <v>45910</v>
      </c>
      <c r="D491" s="4" t="str">
        <f t="shared" si="7"/>
        <v>E0001745910</v>
      </c>
      <c r="E491" s="2" t="s">
        <v>168</v>
      </c>
      <c r="F491" s="2" t="s">
        <v>163</v>
      </c>
    </row>
    <row r="492" spans="1:6" x14ac:dyDescent="0.25">
      <c r="A492" s="2" t="s">
        <v>48</v>
      </c>
      <c r="B492" s="2" t="s">
        <v>49</v>
      </c>
      <c r="C492" s="4">
        <v>45911</v>
      </c>
      <c r="D492" s="4" t="str">
        <f t="shared" si="7"/>
        <v>E0001745911</v>
      </c>
      <c r="E492" s="2" t="s">
        <v>169</v>
      </c>
      <c r="F492" s="2" t="s">
        <v>162</v>
      </c>
    </row>
    <row r="493" spans="1:6" x14ac:dyDescent="0.25">
      <c r="A493" s="2" t="s">
        <v>48</v>
      </c>
      <c r="B493" s="2" t="s">
        <v>49</v>
      </c>
      <c r="C493" s="4">
        <v>45912</v>
      </c>
      <c r="D493" s="4" t="str">
        <f t="shared" si="7"/>
        <v>E0001745912</v>
      </c>
      <c r="E493" s="2" t="s">
        <v>170</v>
      </c>
      <c r="F493" s="2" t="s">
        <v>162</v>
      </c>
    </row>
    <row r="494" spans="1:6" x14ac:dyDescent="0.25">
      <c r="A494" s="2" t="s">
        <v>48</v>
      </c>
      <c r="B494" s="2" t="s">
        <v>49</v>
      </c>
      <c r="C494" s="4">
        <v>45913</v>
      </c>
      <c r="D494" s="4" t="str">
        <f t="shared" si="7"/>
        <v>E0001745913</v>
      </c>
      <c r="E494" s="2" t="s">
        <v>171</v>
      </c>
      <c r="F494" s="2" t="s">
        <v>162</v>
      </c>
    </row>
    <row r="495" spans="1:6" x14ac:dyDescent="0.25">
      <c r="A495" s="2" t="s">
        <v>48</v>
      </c>
      <c r="B495" s="2" t="s">
        <v>49</v>
      </c>
      <c r="C495" s="4">
        <v>45914</v>
      </c>
      <c r="D495" s="4" t="str">
        <f t="shared" si="7"/>
        <v>E0001745914</v>
      </c>
      <c r="E495" s="2" t="s">
        <v>172</v>
      </c>
      <c r="F495" s="2" t="s">
        <v>164</v>
      </c>
    </row>
    <row r="496" spans="1:6" x14ac:dyDescent="0.25">
      <c r="A496" s="2" t="s">
        <v>48</v>
      </c>
      <c r="B496" s="2" t="s">
        <v>49</v>
      </c>
      <c r="C496" s="4">
        <v>45915</v>
      </c>
      <c r="D496" s="4" t="str">
        <f t="shared" si="7"/>
        <v>E0001745915</v>
      </c>
      <c r="E496" s="2" t="s">
        <v>166</v>
      </c>
      <c r="F496" s="2" t="s">
        <v>162</v>
      </c>
    </row>
    <row r="497" spans="1:6" x14ac:dyDescent="0.25">
      <c r="A497" s="2" t="s">
        <v>48</v>
      </c>
      <c r="B497" s="2" t="s">
        <v>49</v>
      </c>
      <c r="C497" s="4">
        <v>45916</v>
      </c>
      <c r="D497" s="4" t="str">
        <f t="shared" si="7"/>
        <v>E0001745916</v>
      </c>
      <c r="E497" s="2" t="s">
        <v>167</v>
      </c>
      <c r="F497" s="2" t="s">
        <v>165</v>
      </c>
    </row>
    <row r="498" spans="1:6" x14ac:dyDescent="0.25">
      <c r="A498" s="2" t="s">
        <v>48</v>
      </c>
      <c r="B498" s="2" t="s">
        <v>49</v>
      </c>
      <c r="C498" s="4">
        <v>45917</v>
      </c>
      <c r="D498" s="4" t="str">
        <f t="shared" si="7"/>
        <v>E0001745917</v>
      </c>
      <c r="E498" s="2" t="s">
        <v>168</v>
      </c>
      <c r="F498" s="2" t="s">
        <v>162</v>
      </c>
    </row>
    <row r="499" spans="1:6" x14ac:dyDescent="0.25">
      <c r="A499" s="2" t="s">
        <v>48</v>
      </c>
      <c r="B499" s="2" t="s">
        <v>49</v>
      </c>
      <c r="C499" s="4">
        <v>45918</v>
      </c>
      <c r="D499" s="4" t="str">
        <f t="shared" si="7"/>
        <v>E0001745918</v>
      </c>
      <c r="E499" s="2" t="s">
        <v>169</v>
      </c>
      <c r="F499" s="2" t="s">
        <v>162</v>
      </c>
    </row>
    <row r="500" spans="1:6" x14ac:dyDescent="0.25">
      <c r="A500" s="2" t="s">
        <v>48</v>
      </c>
      <c r="B500" s="2" t="s">
        <v>49</v>
      </c>
      <c r="C500" s="4">
        <v>45919</v>
      </c>
      <c r="D500" s="4" t="str">
        <f t="shared" si="7"/>
        <v>E0001745919</v>
      </c>
      <c r="E500" s="2" t="s">
        <v>170</v>
      </c>
      <c r="F500" s="2" t="s">
        <v>162</v>
      </c>
    </row>
    <row r="501" spans="1:6" x14ac:dyDescent="0.25">
      <c r="A501" s="2" t="s">
        <v>48</v>
      </c>
      <c r="B501" s="2" t="s">
        <v>49</v>
      </c>
      <c r="C501" s="4">
        <v>45920</v>
      </c>
      <c r="D501" s="4" t="str">
        <f t="shared" si="7"/>
        <v>E0001745920</v>
      </c>
      <c r="E501" s="2" t="s">
        <v>171</v>
      </c>
      <c r="F501" s="2" t="s">
        <v>162</v>
      </c>
    </row>
    <row r="502" spans="1:6" x14ac:dyDescent="0.25">
      <c r="A502" s="2" t="s">
        <v>48</v>
      </c>
      <c r="B502" s="2" t="s">
        <v>49</v>
      </c>
      <c r="C502" s="4">
        <v>45921</v>
      </c>
      <c r="D502" s="4" t="str">
        <f t="shared" si="7"/>
        <v>E0001745921</v>
      </c>
      <c r="E502" s="2" t="s">
        <v>172</v>
      </c>
      <c r="F502" s="2" t="s">
        <v>164</v>
      </c>
    </row>
    <row r="503" spans="1:6" x14ac:dyDescent="0.25">
      <c r="A503" s="2" t="s">
        <v>48</v>
      </c>
      <c r="B503" s="2" t="s">
        <v>49</v>
      </c>
      <c r="C503" s="4">
        <v>45922</v>
      </c>
      <c r="D503" s="4" t="str">
        <f t="shared" si="7"/>
        <v>E0001745922</v>
      </c>
      <c r="E503" s="2" t="s">
        <v>166</v>
      </c>
      <c r="F503" s="2" t="s">
        <v>165</v>
      </c>
    </row>
    <row r="504" spans="1:6" x14ac:dyDescent="0.25">
      <c r="A504" s="2" t="s">
        <v>48</v>
      </c>
      <c r="B504" s="2" t="s">
        <v>49</v>
      </c>
      <c r="C504" s="4">
        <v>45923</v>
      </c>
      <c r="D504" s="4" t="str">
        <f t="shared" si="7"/>
        <v>E0001745923</v>
      </c>
      <c r="E504" s="2" t="s">
        <v>167</v>
      </c>
      <c r="F504" s="2" t="s">
        <v>162</v>
      </c>
    </row>
    <row r="505" spans="1:6" x14ac:dyDescent="0.25">
      <c r="A505" s="2" t="s">
        <v>48</v>
      </c>
      <c r="B505" s="2" t="s">
        <v>49</v>
      </c>
      <c r="C505" s="4">
        <v>45924</v>
      </c>
      <c r="D505" s="4" t="str">
        <f t="shared" si="7"/>
        <v>E0001745924</v>
      </c>
      <c r="E505" s="2" t="s">
        <v>168</v>
      </c>
      <c r="F505" s="2" t="s">
        <v>162</v>
      </c>
    </row>
    <row r="506" spans="1:6" x14ac:dyDescent="0.25">
      <c r="A506" s="2" t="s">
        <v>48</v>
      </c>
      <c r="B506" s="2" t="s">
        <v>49</v>
      </c>
      <c r="C506" s="4">
        <v>45925</v>
      </c>
      <c r="D506" s="4" t="str">
        <f t="shared" si="7"/>
        <v>E0001745925</v>
      </c>
      <c r="E506" s="2" t="s">
        <v>169</v>
      </c>
      <c r="F506" s="2" t="s">
        <v>162</v>
      </c>
    </row>
    <row r="507" spans="1:6" x14ac:dyDescent="0.25">
      <c r="A507" s="2" t="s">
        <v>48</v>
      </c>
      <c r="B507" s="2" t="s">
        <v>49</v>
      </c>
      <c r="C507" s="4">
        <v>45926</v>
      </c>
      <c r="D507" s="4" t="str">
        <f t="shared" si="7"/>
        <v>E0001745926</v>
      </c>
      <c r="E507" s="2" t="s">
        <v>170</v>
      </c>
      <c r="F507" s="2" t="s">
        <v>162</v>
      </c>
    </row>
    <row r="508" spans="1:6" x14ac:dyDescent="0.25">
      <c r="A508" s="2" t="s">
        <v>48</v>
      </c>
      <c r="B508" s="2" t="s">
        <v>49</v>
      </c>
      <c r="C508" s="4">
        <v>45927</v>
      </c>
      <c r="D508" s="4" t="str">
        <f t="shared" si="7"/>
        <v>E0001745927</v>
      </c>
      <c r="E508" s="2" t="s">
        <v>171</v>
      </c>
      <c r="F508" s="2" t="s">
        <v>163</v>
      </c>
    </row>
    <row r="509" spans="1:6" x14ac:dyDescent="0.25">
      <c r="A509" s="2" t="s">
        <v>48</v>
      </c>
      <c r="B509" s="2" t="s">
        <v>49</v>
      </c>
      <c r="C509" s="4">
        <v>45928</v>
      </c>
      <c r="D509" s="4" t="str">
        <f t="shared" si="7"/>
        <v>E0001745928</v>
      </c>
      <c r="E509" s="2" t="s">
        <v>172</v>
      </c>
      <c r="F509" s="2" t="s">
        <v>164</v>
      </c>
    </row>
    <row r="510" spans="1:6" x14ac:dyDescent="0.25">
      <c r="A510" s="2" t="s">
        <v>48</v>
      </c>
      <c r="B510" s="2" t="s">
        <v>49</v>
      </c>
      <c r="C510" s="4">
        <v>45929</v>
      </c>
      <c r="D510" s="4" t="str">
        <f t="shared" si="7"/>
        <v>E0001745929</v>
      </c>
      <c r="E510" s="2" t="s">
        <v>166</v>
      </c>
      <c r="F510" s="2" t="s">
        <v>162</v>
      </c>
    </row>
    <row r="511" spans="1:6" x14ac:dyDescent="0.25">
      <c r="A511" s="2" t="s">
        <v>48</v>
      </c>
      <c r="B511" s="2" t="s">
        <v>49</v>
      </c>
      <c r="C511" s="4">
        <v>45930</v>
      </c>
      <c r="D511" s="4" t="str">
        <f t="shared" si="7"/>
        <v>E0001745930</v>
      </c>
      <c r="E511" s="2" t="s">
        <v>167</v>
      </c>
      <c r="F511" s="2" t="s">
        <v>162</v>
      </c>
    </row>
    <row r="512" spans="1:6" x14ac:dyDescent="0.25">
      <c r="A512" s="2" t="s">
        <v>50</v>
      </c>
      <c r="B512" s="2" t="s">
        <v>51</v>
      </c>
      <c r="C512" s="4">
        <v>45901</v>
      </c>
      <c r="D512" s="4" t="str">
        <f t="shared" si="7"/>
        <v>E0001845901</v>
      </c>
      <c r="E512" s="2" t="s">
        <v>166</v>
      </c>
      <c r="F512" s="2" t="s">
        <v>163</v>
      </c>
    </row>
    <row r="513" spans="1:6" x14ac:dyDescent="0.25">
      <c r="A513" s="2" t="s">
        <v>50</v>
      </c>
      <c r="B513" s="2" t="s">
        <v>51</v>
      </c>
      <c r="C513" s="4">
        <v>45902</v>
      </c>
      <c r="D513" s="4" t="str">
        <f t="shared" si="7"/>
        <v>E0001845902</v>
      </c>
      <c r="E513" s="2" t="s">
        <v>167</v>
      </c>
      <c r="F513" s="2" t="s">
        <v>165</v>
      </c>
    </row>
    <row r="514" spans="1:6" x14ac:dyDescent="0.25">
      <c r="A514" s="2" t="s">
        <v>50</v>
      </c>
      <c r="B514" s="2" t="s">
        <v>51</v>
      </c>
      <c r="C514" s="4">
        <v>45903</v>
      </c>
      <c r="D514" s="4" t="str">
        <f t="shared" si="7"/>
        <v>E0001845903</v>
      </c>
      <c r="E514" s="2" t="s">
        <v>168</v>
      </c>
      <c r="F514" s="2" t="s">
        <v>162</v>
      </c>
    </row>
    <row r="515" spans="1:6" x14ac:dyDescent="0.25">
      <c r="A515" s="2" t="s">
        <v>50</v>
      </c>
      <c r="B515" s="2" t="s">
        <v>51</v>
      </c>
      <c r="C515" s="4">
        <v>45904</v>
      </c>
      <c r="D515" s="4" t="str">
        <f t="shared" ref="D515:D578" si="8">A515&amp;C515</f>
        <v>E0001845904</v>
      </c>
      <c r="E515" s="2" t="s">
        <v>169</v>
      </c>
      <c r="F515" s="2" t="s">
        <v>163</v>
      </c>
    </row>
    <row r="516" spans="1:6" x14ac:dyDescent="0.25">
      <c r="A516" s="2" t="s">
        <v>50</v>
      </c>
      <c r="B516" s="2" t="s">
        <v>51</v>
      </c>
      <c r="C516" s="4">
        <v>45905</v>
      </c>
      <c r="D516" s="4" t="str">
        <f t="shared" si="8"/>
        <v>E0001845905</v>
      </c>
      <c r="E516" s="2" t="s">
        <v>170</v>
      </c>
      <c r="F516" s="2" t="s">
        <v>162</v>
      </c>
    </row>
    <row r="517" spans="1:6" x14ac:dyDescent="0.25">
      <c r="A517" s="2" t="s">
        <v>50</v>
      </c>
      <c r="B517" s="2" t="s">
        <v>51</v>
      </c>
      <c r="C517" s="4">
        <v>45906</v>
      </c>
      <c r="D517" s="4" t="str">
        <f t="shared" si="8"/>
        <v>E0001845906</v>
      </c>
      <c r="E517" s="2" t="s">
        <v>171</v>
      </c>
      <c r="F517" s="2" t="s">
        <v>162</v>
      </c>
    </row>
    <row r="518" spans="1:6" x14ac:dyDescent="0.25">
      <c r="A518" s="2" t="s">
        <v>50</v>
      </c>
      <c r="B518" s="2" t="s">
        <v>51</v>
      </c>
      <c r="C518" s="4">
        <v>45907</v>
      </c>
      <c r="D518" s="4" t="str">
        <f t="shared" si="8"/>
        <v>E0001845907</v>
      </c>
      <c r="E518" s="2" t="s">
        <v>172</v>
      </c>
      <c r="F518" s="2" t="s">
        <v>164</v>
      </c>
    </row>
    <row r="519" spans="1:6" x14ac:dyDescent="0.25">
      <c r="A519" s="2" t="s">
        <v>50</v>
      </c>
      <c r="B519" s="2" t="s">
        <v>51</v>
      </c>
      <c r="C519" s="4">
        <v>45908</v>
      </c>
      <c r="D519" s="4" t="str">
        <f t="shared" si="8"/>
        <v>E0001845908</v>
      </c>
      <c r="E519" s="2" t="s">
        <v>166</v>
      </c>
      <c r="F519" s="2" t="s">
        <v>162</v>
      </c>
    </row>
    <row r="520" spans="1:6" x14ac:dyDescent="0.25">
      <c r="A520" s="2" t="s">
        <v>50</v>
      </c>
      <c r="B520" s="2" t="s">
        <v>51</v>
      </c>
      <c r="C520" s="4">
        <v>45909</v>
      </c>
      <c r="D520" s="4" t="str">
        <f t="shared" si="8"/>
        <v>E0001845909</v>
      </c>
      <c r="E520" s="2" t="s">
        <v>167</v>
      </c>
      <c r="F520" s="2" t="s">
        <v>162</v>
      </c>
    </row>
    <row r="521" spans="1:6" x14ac:dyDescent="0.25">
      <c r="A521" s="2" t="s">
        <v>50</v>
      </c>
      <c r="B521" s="2" t="s">
        <v>51</v>
      </c>
      <c r="C521" s="4">
        <v>45910</v>
      </c>
      <c r="D521" s="4" t="str">
        <f t="shared" si="8"/>
        <v>E0001845910</v>
      </c>
      <c r="E521" s="2" t="s">
        <v>168</v>
      </c>
      <c r="F521" s="2" t="s">
        <v>165</v>
      </c>
    </row>
    <row r="522" spans="1:6" x14ac:dyDescent="0.25">
      <c r="A522" s="2" t="s">
        <v>50</v>
      </c>
      <c r="B522" s="2" t="s">
        <v>51</v>
      </c>
      <c r="C522" s="4">
        <v>45911</v>
      </c>
      <c r="D522" s="4" t="str">
        <f t="shared" si="8"/>
        <v>E0001845911</v>
      </c>
      <c r="E522" s="2" t="s">
        <v>169</v>
      </c>
      <c r="F522" s="2" t="s">
        <v>162</v>
      </c>
    </row>
    <row r="523" spans="1:6" x14ac:dyDescent="0.25">
      <c r="A523" s="2" t="s">
        <v>50</v>
      </c>
      <c r="B523" s="2" t="s">
        <v>51</v>
      </c>
      <c r="C523" s="4">
        <v>45912</v>
      </c>
      <c r="D523" s="4" t="str">
        <f t="shared" si="8"/>
        <v>E0001845912</v>
      </c>
      <c r="E523" s="2" t="s">
        <v>170</v>
      </c>
      <c r="F523" s="2" t="s">
        <v>162</v>
      </c>
    </row>
    <row r="524" spans="1:6" x14ac:dyDescent="0.25">
      <c r="A524" s="2" t="s">
        <v>50</v>
      </c>
      <c r="B524" s="2" t="s">
        <v>51</v>
      </c>
      <c r="C524" s="4">
        <v>45913</v>
      </c>
      <c r="D524" s="4" t="str">
        <f t="shared" si="8"/>
        <v>E0001845913</v>
      </c>
      <c r="E524" s="2" t="s">
        <v>171</v>
      </c>
      <c r="F524" s="2" t="s">
        <v>162</v>
      </c>
    </row>
    <row r="525" spans="1:6" x14ac:dyDescent="0.25">
      <c r="A525" s="2" t="s">
        <v>50</v>
      </c>
      <c r="B525" s="2" t="s">
        <v>51</v>
      </c>
      <c r="C525" s="4">
        <v>45914</v>
      </c>
      <c r="D525" s="4" t="str">
        <f t="shared" si="8"/>
        <v>E0001845914</v>
      </c>
      <c r="E525" s="2" t="s">
        <v>172</v>
      </c>
      <c r="F525" s="2" t="s">
        <v>164</v>
      </c>
    </row>
    <row r="526" spans="1:6" x14ac:dyDescent="0.25">
      <c r="A526" s="2" t="s">
        <v>50</v>
      </c>
      <c r="B526" s="2" t="s">
        <v>51</v>
      </c>
      <c r="C526" s="4">
        <v>45915</v>
      </c>
      <c r="D526" s="4" t="str">
        <f t="shared" si="8"/>
        <v>E0001845915</v>
      </c>
      <c r="E526" s="2" t="s">
        <v>166</v>
      </c>
      <c r="F526" s="2" t="s">
        <v>162</v>
      </c>
    </row>
    <row r="527" spans="1:6" x14ac:dyDescent="0.25">
      <c r="A527" s="2" t="s">
        <v>50</v>
      </c>
      <c r="B527" s="2" t="s">
        <v>51</v>
      </c>
      <c r="C527" s="4">
        <v>45916</v>
      </c>
      <c r="D527" s="4" t="str">
        <f t="shared" si="8"/>
        <v>E0001845916</v>
      </c>
      <c r="E527" s="2" t="s">
        <v>167</v>
      </c>
      <c r="F527" s="2" t="s">
        <v>162</v>
      </c>
    </row>
    <row r="528" spans="1:6" x14ac:dyDescent="0.25">
      <c r="A528" s="2" t="s">
        <v>50</v>
      </c>
      <c r="B528" s="2" t="s">
        <v>51</v>
      </c>
      <c r="C528" s="4">
        <v>45917</v>
      </c>
      <c r="D528" s="4" t="str">
        <f t="shared" si="8"/>
        <v>E0001845917</v>
      </c>
      <c r="E528" s="2" t="s">
        <v>168</v>
      </c>
      <c r="F528" s="2" t="s">
        <v>165</v>
      </c>
    </row>
    <row r="529" spans="1:6" x14ac:dyDescent="0.25">
      <c r="A529" s="2" t="s">
        <v>50</v>
      </c>
      <c r="B529" s="2" t="s">
        <v>51</v>
      </c>
      <c r="C529" s="4">
        <v>45918</v>
      </c>
      <c r="D529" s="4" t="str">
        <f t="shared" si="8"/>
        <v>E0001845918</v>
      </c>
      <c r="E529" s="2" t="s">
        <v>169</v>
      </c>
      <c r="F529" s="2" t="s">
        <v>162</v>
      </c>
    </row>
    <row r="530" spans="1:6" x14ac:dyDescent="0.25">
      <c r="A530" s="2" t="s">
        <v>50</v>
      </c>
      <c r="B530" s="2" t="s">
        <v>51</v>
      </c>
      <c r="C530" s="4">
        <v>45919</v>
      </c>
      <c r="D530" s="4" t="str">
        <f t="shared" si="8"/>
        <v>E0001845919</v>
      </c>
      <c r="E530" s="2" t="s">
        <v>170</v>
      </c>
      <c r="F530" s="2" t="s">
        <v>162</v>
      </c>
    </row>
    <row r="531" spans="1:6" x14ac:dyDescent="0.25">
      <c r="A531" s="2" t="s">
        <v>50</v>
      </c>
      <c r="B531" s="2" t="s">
        <v>51</v>
      </c>
      <c r="C531" s="4">
        <v>45920</v>
      </c>
      <c r="D531" s="4" t="str">
        <f t="shared" si="8"/>
        <v>E0001845920</v>
      </c>
      <c r="E531" s="2" t="s">
        <v>171</v>
      </c>
      <c r="F531" s="2" t="s">
        <v>163</v>
      </c>
    </row>
    <row r="532" spans="1:6" x14ac:dyDescent="0.25">
      <c r="A532" s="2" t="s">
        <v>50</v>
      </c>
      <c r="B532" s="2" t="s">
        <v>51</v>
      </c>
      <c r="C532" s="4">
        <v>45921</v>
      </c>
      <c r="D532" s="4" t="str">
        <f t="shared" si="8"/>
        <v>E0001845921</v>
      </c>
      <c r="E532" s="2" t="s">
        <v>172</v>
      </c>
      <c r="F532" s="2" t="s">
        <v>164</v>
      </c>
    </row>
    <row r="533" spans="1:6" x14ac:dyDescent="0.25">
      <c r="A533" s="2" t="s">
        <v>50</v>
      </c>
      <c r="B533" s="2" t="s">
        <v>51</v>
      </c>
      <c r="C533" s="4">
        <v>45922</v>
      </c>
      <c r="D533" s="4" t="str">
        <f t="shared" si="8"/>
        <v>E0001845922</v>
      </c>
      <c r="E533" s="2" t="s">
        <v>166</v>
      </c>
      <c r="F533" s="2" t="s">
        <v>162</v>
      </c>
    </row>
    <row r="534" spans="1:6" x14ac:dyDescent="0.25">
      <c r="A534" s="2" t="s">
        <v>50</v>
      </c>
      <c r="B534" s="2" t="s">
        <v>51</v>
      </c>
      <c r="C534" s="4">
        <v>45923</v>
      </c>
      <c r="D534" s="4" t="str">
        <f t="shared" si="8"/>
        <v>E0001845923</v>
      </c>
      <c r="E534" s="2" t="s">
        <v>167</v>
      </c>
      <c r="F534" s="2" t="s">
        <v>162</v>
      </c>
    </row>
    <row r="535" spans="1:6" x14ac:dyDescent="0.25">
      <c r="A535" s="2" t="s">
        <v>50</v>
      </c>
      <c r="B535" s="2" t="s">
        <v>51</v>
      </c>
      <c r="C535" s="4">
        <v>45924</v>
      </c>
      <c r="D535" s="4" t="str">
        <f t="shared" si="8"/>
        <v>E0001845924</v>
      </c>
      <c r="E535" s="2" t="s">
        <v>168</v>
      </c>
      <c r="F535" s="2" t="s">
        <v>162</v>
      </c>
    </row>
    <row r="536" spans="1:6" x14ac:dyDescent="0.25">
      <c r="A536" s="2" t="s">
        <v>50</v>
      </c>
      <c r="B536" s="2" t="s">
        <v>51</v>
      </c>
      <c r="C536" s="4">
        <v>45925</v>
      </c>
      <c r="D536" s="4" t="str">
        <f t="shared" si="8"/>
        <v>E0001845925</v>
      </c>
      <c r="E536" s="2" t="s">
        <v>169</v>
      </c>
      <c r="F536" s="2" t="s">
        <v>162</v>
      </c>
    </row>
    <row r="537" spans="1:6" x14ac:dyDescent="0.25">
      <c r="A537" s="2" t="s">
        <v>50</v>
      </c>
      <c r="B537" s="2" t="s">
        <v>51</v>
      </c>
      <c r="C537" s="4">
        <v>45926</v>
      </c>
      <c r="D537" s="4" t="str">
        <f t="shared" si="8"/>
        <v>E0001845926</v>
      </c>
      <c r="E537" s="2" t="s">
        <v>170</v>
      </c>
      <c r="F537" s="2" t="s">
        <v>162</v>
      </c>
    </row>
    <row r="538" spans="1:6" x14ac:dyDescent="0.25">
      <c r="A538" s="2" t="s">
        <v>50</v>
      </c>
      <c r="B538" s="2" t="s">
        <v>51</v>
      </c>
      <c r="C538" s="4">
        <v>45927</v>
      </c>
      <c r="D538" s="4" t="str">
        <f t="shared" si="8"/>
        <v>E0001845927</v>
      </c>
      <c r="E538" s="2" t="s">
        <v>171</v>
      </c>
      <c r="F538" s="2" t="s">
        <v>162</v>
      </c>
    </row>
    <row r="539" spans="1:6" x14ac:dyDescent="0.25">
      <c r="A539" s="2" t="s">
        <v>50</v>
      </c>
      <c r="B539" s="2" t="s">
        <v>51</v>
      </c>
      <c r="C539" s="4">
        <v>45928</v>
      </c>
      <c r="D539" s="4" t="str">
        <f t="shared" si="8"/>
        <v>E0001845928</v>
      </c>
      <c r="E539" s="2" t="s">
        <v>172</v>
      </c>
      <c r="F539" s="2" t="s">
        <v>164</v>
      </c>
    </row>
    <row r="540" spans="1:6" x14ac:dyDescent="0.25">
      <c r="A540" s="2" t="s">
        <v>50</v>
      </c>
      <c r="B540" s="2" t="s">
        <v>51</v>
      </c>
      <c r="C540" s="4">
        <v>45929</v>
      </c>
      <c r="D540" s="4" t="str">
        <f t="shared" si="8"/>
        <v>E0001845929</v>
      </c>
      <c r="E540" s="2" t="s">
        <v>166</v>
      </c>
      <c r="F540" s="2" t="s">
        <v>162</v>
      </c>
    </row>
    <row r="541" spans="1:6" x14ac:dyDescent="0.25">
      <c r="A541" s="2" t="s">
        <v>50</v>
      </c>
      <c r="B541" s="2" t="s">
        <v>51</v>
      </c>
      <c r="C541" s="4">
        <v>45930</v>
      </c>
      <c r="D541" s="4" t="str">
        <f t="shared" si="8"/>
        <v>E0001845930</v>
      </c>
      <c r="E541" s="2" t="s">
        <v>167</v>
      </c>
      <c r="F541" s="2" t="s">
        <v>165</v>
      </c>
    </row>
    <row r="542" spans="1:6" x14ac:dyDescent="0.25">
      <c r="A542" s="2" t="s">
        <v>52</v>
      </c>
      <c r="B542" s="2" t="s">
        <v>53</v>
      </c>
      <c r="C542" s="4">
        <v>45901</v>
      </c>
      <c r="D542" s="4" t="str">
        <f t="shared" si="8"/>
        <v>E0001945901</v>
      </c>
      <c r="E542" s="2" t="s">
        <v>166</v>
      </c>
      <c r="F542" s="2" t="s">
        <v>162</v>
      </c>
    </row>
    <row r="543" spans="1:6" x14ac:dyDescent="0.25">
      <c r="A543" s="2" t="s">
        <v>52</v>
      </c>
      <c r="B543" s="2" t="s">
        <v>53</v>
      </c>
      <c r="C543" s="4">
        <v>45902</v>
      </c>
      <c r="D543" s="4" t="str">
        <f t="shared" si="8"/>
        <v>E0001945902</v>
      </c>
      <c r="E543" s="2" t="s">
        <v>167</v>
      </c>
      <c r="F543" s="2" t="s">
        <v>163</v>
      </c>
    </row>
    <row r="544" spans="1:6" x14ac:dyDescent="0.25">
      <c r="A544" s="2" t="s">
        <v>52</v>
      </c>
      <c r="B544" s="2" t="s">
        <v>53</v>
      </c>
      <c r="C544" s="4">
        <v>45903</v>
      </c>
      <c r="D544" s="4" t="str">
        <f t="shared" si="8"/>
        <v>E0001945903</v>
      </c>
      <c r="E544" s="2" t="s">
        <v>168</v>
      </c>
      <c r="F544" s="2" t="s">
        <v>162</v>
      </c>
    </row>
    <row r="545" spans="1:6" x14ac:dyDescent="0.25">
      <c r="A545" s="2" t="s">
        <v>52</v>
      </c>
      <c r="B545" s="2" t="s">
        <v>53</v>
      </c>
      <c r="C545" s="4">
        <v>45904</v>
      </c>
      <c r="D545" s="4" t="str">
        <f t="shared" si="8"/>
        <v>E0001945904</v>
      </c>
      <c r="E545" s="2" t="s">
        <v>169</v>
      </c>
      <c r="F545" s="2" t="s">
        <v>163</v>
      </c>
    </row>
    <row r="546" spans="1:6" x14ac:dyDescent="0.25">
      <c r="A546" s="2" t="s">
        <v>52</v>
      </c>
      <c r="B546" s="2" t="s">
        <v>53</v>
      </c>
      <c r="C546" s="4">
        <v>45905</v>
      </c>
      <c r="D546" s="4" t="str">
        <f t="shared" si="8"/>
        <v>E0001945905</v>
      </c>
      <c r="E546" s="2" t="s">
        <v>170</v>
      </c>
      <c r="F546" s="2" t="s">
        <v>162</v>
      </c>
    </row>
    <row r="547" spans="1:6" x14ac:dyDescent="0.25">
      <c r="A547" s="2" t="s">
        <v>52</v>
      </c>
      <c r="B547" s="2" t="s">
        <v>53</v>
      </c>
      <c r="C547" s="4">
        <v>45906</v>
      </c>
      <c r="D547" s="4" t="str">
        <f t="shared" si="8"/>
        <v>E0001945906</v>
      </c>
      <c r="E547" s="2" t="s">
        <v>171</v>
      </c>
      <c r="F547" s="2" t="s">
        <v>162</v>
      </c>
    </row>
    <row r="548" spans="1:6" x14ac:dyDescent="0.25">
      <c r="A548" s="2" t="s">
        <v>52</v>
      </c>
      <c r="B548" s="2" t="s">
        <v>53</v>
      </c>
      <c r="C548" s="4">
        <v>45907</v>
      </c>
      <c r="D548" s="4" t="str">
        <f t="shared" si="8"/>
        <v>E0001945907</v>
      </c>
      <c r="E548" s="2" t="s">
        <v>172</v>
      </c>
      <c r="F548" s="2" t="s">
        <v>164</v>
      </c>
    </row>
    <row r="549" spans="1:6" x14ac:dyDescent="0.25">
      <c r="A549" s="2" t="s">
        <v>52</v>
      </c>
      <c r="B549" s="2" t="s">
        <v>53</v>
      </c>
      <c r="C549" s="4">
        <v>45908</v>
      </c>
      <c r="D549" s="4" t="str">
        <f t="shared" si="8"/>
        <v>E0001945908</v>
      </c>
      <c r="E549" s="2" t="s">
        <v>166</v>
      </c>
      <c r="F549" s="2" t="s">
        <v>162</v>
      </c>
    </row>
    <row r="550" spans="1:6" x14ac:dyDescent="0.25">
      <c r="A550" s="2" t="s">
        <v>52</v>
      </c>
      <c r="B550" s="2" t="s">
        <v>53</v>
      </c>
      <c r="C550" s="4">
        <v>45909</v>
      </c>
      <c r="D550" s="4" t="str">
        <f t="shared" si="8"/>
        <v>E0001945909</v>
      </c>
      <c r="E550" s="2" t="s">
        <v>167</v>
      </c>
      <c r="F550" s="2" t="s">
        <v>165</v>
      </c>
    </row>
    <row r="551" spans="1:6" x14ac:dyDescent="0.25">
      <c r="A551" s="2" t="s">
        <v>52</v>
      </c>
      <c r="B551" s="2" t="s">
        <v>53</v>
      </c>
      <c r="C551" s="4">
        <v>45910</v>
      </c>
      <c r="D551" s="4" t="str">
        <f t="shared" si="8"/>
        <v>E0001945910</v>
      </c>
      <c r="E551" s="2" t="s">
        <v>168</v>
      </c>
      <c r="F551" s="2" t="s">
        <v>162</v>
      </c>
    </row>
    <row r="552" spans="1:6" x14ac:dyDescent="0.25">
      <c r="A552" s="2" t="s">
        <v>52</v>
      </c>
      <c r="B552" s="2" t="s">
        <v>53</v>
      </c>
      <c r="C552" s="4">
        <v>45911</v>
      </c>
      <c r="D552" s="4" t="str">
        <f t="shared" si="8"/>
        <v>E0001945911</v>
      </c>
      <c r="E552" s="2" t="s">
        <v>169</v>
      </c>
      <c r="F552" s="2" t="s">
        <v>162</v>
      </c>
    </row>
    <row r="553" spans="1:6" x14ac:dyDescent="0.25">
      <c r="A553" s="2" t="s">
        <v>52</v>
      </c>
      <c r="B553" s="2" t="s">
        <v>53</v>
      </c>
      <c r="C553" s="4">
        <v>45912</v>
      </c>
      <c r="D553" s="4" t="str">
        <f t="shared" si="8"/>
        <v>E0001945912</v>
      </c>
      <c r="E553" s="2" t="s">
        <v>170</v>
      </c>
      <c r="F553" s="2" t="s">
        <v>163</v>
      </c>
    </row>
    <row r="554" spans="1:6" x14ac:dyDescent="0.25">
      <c r="A554" s="2" t="s">
        <v>52</v>
      </c>
      <c r="B554" s="2" t="s">
        <v>53</v>
      </c>
      <c r="C554" s="4">
        <v>45913</v>
      </c>
      <c r="D554" s="4" t="str">
        <f t="shared" si="8"/>
        <v>E0001945913</v>
      </c>
      <c r="E554" s="2" t="s">
        <v>171</v>
      </c>
      <c r="F554" s="2" t="s">
        <v>165</v>
      </c>
    </row>
    <row r="555" spans="1:6" x14ac:dyDescent="0.25">
      <c r="A555" s="2" t="s">
        <v>52</v>
      </c>
      <c r="B555" s="2" t="s">
        <v>53</v>
      </c>
      <c r="C555" s="4">
        <v>45914</v>
      </c>
      <c r="D555" s="4" t="str">
        <f t="shared" si="8"/>
        <v>E0001945914</v>
      </c>
      <c r="E555" s="2" t="s">
        <v>172</v>
      </c>
      <c r="F555" s="2" t="s">
        <v>164</v>
      </c>
    </row>
    <row r="556" spans="1:6" x14ac:dyDescent="0.25">
      <c r="A556" s="2" t="s">
        <v>52</v>
      </c>
      <c r="B556" s="2" t="s">
        <v>53</v>
      </c>
      <c r="C556" s="4">
        <v>45915</v>
      </c>
      <c r="D556" s="4" t="str">
        <f t="shared" si="8"/>
        <v>E0001945915</v>
      </c>
      <c r="E556" s="2" t="s">
        <v>166</v>
      </c>
      <c r="F556" s="2" t="s">
        <v>162</v>
      </c>
    </row>
    <row r="557" spans="1:6" x14ac:dyDescent="0.25">
      <c r="A557" s="2" t="s">
        <v>52</v>
      </c>
      <c r="B557" s="2" t="s">
        <v>53</v>
      </c>
      <c r="C557" s="4">
        <v>45916</v>
      </c>
      <c r="D557" s="4" t="str">
        <f t="shared" si="8"/>
        <v>E0001945916</v>
      </c>
      <c r="E557" s="2" t="s">
        <v>167</v>
      </c>
      <c r="F557" s="2" t="s">
        <v>162</v>
      </c>
    </row>
    <row r="558" spans="1:6" x14ac:dyDescent="0.25">
      <c r="A558" s="2" t="s">
        <v>52</v>
      </c>
      <c r="B558" s="2" t="s">
        <v>53</v>
      </c>
      <c r="C558" s="4">
        <v>45917</v>
      </c>
      <c r="D558" s="4" t="str">
        <f t="shared" si="8"/>
        <v>E0001945917</v>
      </c>
      <c r="E558" s="2" t="s">
        <v>168</v>
      </c>
      <c r="F558" s="2" t="s">
        <v>162</v>
      </c>
    </row>
    <row r="559" spans="1:6" x14ac:dyDescent="0.25">
      <c r="A559" s="2" t="s">
        <v>52</v>
      </c>
      <c r="B559" s="2" t="s">
        <v>53</v>
      </c>
      <c r="C559" s="4">
        <v>45918</v>
      </c>
      <c r="D559" s="4" t="str">
        <f t="shared" si="8"/>
        <v>E0001945918</v>
      </c>
      <c r="E559" s="2" t="s">
        <v>169</v>
      </c>
      <c r="F559" s="2" t="s">
        <v>165</v>
      </c>
    </row>
    <row r="560" spans="1:6" x14ac:dyDescent="0.25">
      <c r="A560" s="2" t="s">
        <v>52</v>
      </c>
      <c r="B560" s="2" t="s">
        <v>53</v>
      </c>
      <c r="C560" s="4">
        <v>45919</v>
      </c>
      <c r="D560" s="4" t="str">
        <f t="shared" si="8"/>
        <v>E0001945919</v>
      </c>
      <c r="E560" s="2" t="s">
        <v>170</v>
      </c>
      <c r="F560" s="2" t="s">
        <v>163</v>
      </c>
    </row>
    <row r="561" spans="1:6" x14ac:dyDescent="0.25">
      <c r="A561" s="2" t="s">
        <v>52</v>
      </c>
      <c r="B561" s="2" t="s">
        <v>53</v>
      </c>
      <c r="C561" s="4">
        <v>45920</v>
      </c>
      <c r="D561" s="4" t="str">
        <f t="shared" si="8"/>
        <v>E0001945920</v>
      </c>
      <c r="E561" s="2" t="s">
        <v>171</v>
      </c>
      <c r="F561" s="2" t="s">
        <v>165</v>
      </c>
    </row>
    <row r="562" spans="1:6" x14ac:dyDescent="0.25">
      <c r="A562" s="2" t="s">
        <v>52</v>
      </c>
      <c r="B562" s="2" t="s">
        <v>53</v>
      </c>
      <c r="C562" s="4">
        <v>45921</v>
      </c>
      <c r="D562" s="4" t="str">
        <f t="shared" si="8"/>
        <v>E0001945921</v>
      </c>
      <c r="E562" s="2" t="s">
        <v>172</v>
      </c>
      <c r="F562" s="2" t="s">
        <v>164</v>
      </c>
    </row>
    <row r="563" spans="1:6" x14ac:dyDescent="0.25">
      <c r="A563" s="2" t="s">
        <v>52</v>
      </c>
      <c r="B563" s="2" t="s">
        <v>53</v>
      </c>
      <c r="C563" s="4">
        <v>45922</v>
      </c>
      <c r="D563" s="4" t="str">
        <f t="shared" si="8"/>
        <v>E0001945922</v>
      </c>
      <c r="E563" s="2" t="s">
        <v>166</v>
      </c>
      <c r="F563" s="2" t="s">
        <v>163</v>
      </c>
    </row>
    <row r="564" spans="1:6" x14ac:dyDescent="0.25">
      <c r="A564" s="2" t="s">
        <v>52</v>
      </c>
      <c r="B564" s="2" t="s">
        <v>53</v>
      </c>
      <c r="C564" s="4">
        <v>45923</v>
      </c>
      <c r="D564" s="4" t="str">
        <f t="shared" si="8"/>
        <v>E0001945923</v>
      </c>
      <c r="E564" s="2" t="s">
        <v>167</v>
      </c>
      <c r="F564" s="2" t="s">
        <v>162</v>
      </c>
    </row>
    <row r="565" spans="1:6" x14ac:dyDescent="0.25">
      <c r="A565" s="2" t="s">
        <v>52</v>
      </c>
      <c r="B565" s="2" t="s">
        <v>53</v>
      </c>
      <c r="C565" s="4">
        <v>45924</v>
      </c>
      <c r="D565" s="4" t="str">
        <f t="shared" si="8"/>
        <v>E0001945924</v>
      </c>
      <c r="E565" s="2" t="s">
        <v>168</v>
      </c>
      <c r="F565" s="2" t="s">
        <v>162</v>
      </c>
    </row>
    <row r="566" spans="1:6" x14ac:dyDescent="0.25">
      <c r="A566" s="2" t="s">
        <v>52</v>
      </c>
      <c r="B566" s="2" t="s">
        <v>53</v>
      </c>
      <c r="C566" s="4">
        <v>45925</v>
      </c>
      <c r="D566" s="4" t="str">
        <f t="shared" si="8"/>
        <v>E0001945925</v>
      </c>
      <c r="E566" s="2" t="s">
        <v>169</v>
      </c>
      <c r="F566" s="2" t="s">
        <v>165</v>
      </c>
    </row>
    <row r="567" spans="1:6" x14ac:dyDescent="0.25">
      <c r="A567" s="2" t="s">
        <v>52</v>
      </c>
      <c r="B567" s="2" t="s">
        <v>53</v>
      </c>
      <c r="C567" s="4">
        <v>45926</v>
      </c>
      <c r="D567" s="4" t="str">
        <f t="shared" si="8"/>
        <v>E0001945926</v>
      </c>
      <c r="E567" s="2" t="s">
        <v>170</v>
      </c>
      <c r="F567" s="2" t="s">
        <v>162</v>
      </c>
    </row>
    <row r="568" spans="1:6" x14ac:dyDescent="0.25">
      <c r="A568" s="2" t="s">
        <v>52</v>
      </c>
      <c r="B568" s="2" t="s">
        <v>53</v>
      </c>
      <c r="C568" s="4">
        <v>45927</v>
      </c>
      <c r="D568" s="4" t="str">
        <f t="shared" si="8"/>
        <v>E0001945927</v>
      </c>
      <c r="E568" s="2" t="s">
        <v>171</v>
      </c>
      <c r="F568" s="2" t="s">
        <v>162</v>
      </c>
    </row>
    <row r="569" spans="1:6" x14ac:dyDescent="0.25">
      <c r="A569" s="2" t="s">
        <v>52</v>
      </c>
      <c r="B569" s="2" t="s">
        <v>53</v>
      </c>
      <c r="C569" s="4">
        <v>45928</v>
      </c>
      <c r="D569" s="4" t="str">
        <f t="shared" si="8"/>
        <v>E0001945928</v>
      </c>
      <c r="E569" s="2" t="s">
        <v>172</v>
      </c>
      <c r="F569" s="2" t="s">
        <v>164</v>
      </c>
    </row>
    <row r="570" spans="1:6" x14ac:dyDescent="0.25">
      <c r="A570" s="2" t="s">
        <v>52</v>
      </c>
      <c r="B570" s="2" t="s">
        <v>53</v>
      </c>
      <c r="C570" s="4">
        <v>45929</v>
      </c>
      <c r="D570" s="4" t="str">
        <f t="shared" si="8"/>
        <v>E0001945929</v>
      </c>
      <c r="E570" s="2" t="s">
        <v>166</v>
      </c>
      <c r="F570" s="2" t="s">
        <v>162</v>
      </c>
    </row>
    <row r="571" spans="1:6" x14ac:dyDescent="0.25">
      <c r="A571" s="2" t="s">
        <v>52</v>
      </c>
      <c r="B571" s="2" t="s">
        <v>53</v>
      </c>
      <c r="C571" s="4">
        <v>45930</v>
      </c>
      <c r="D571" s="4" t="str">
        <f t="shared" si="8"/>
        <v>E0001945930</v>
      </c>
      <c r="E571" s="2" t="s">
        <v>167</v>
      </c>
      <c r="F571" s="2" t="s">
        <v>162</v>
      </c>
    </row>
    <row r="572" spans="1:6" x14ac:dyDescent="0.25">
      <c r="A572" s="2" t="s">
        <v>54</v>
      </c>
      <c r="B572" s="2" t="s">
        <v>55</v>
      </c>
      <c r="C572" s="4">
        <v>45901</v>
      </c>
      <c r="D572" s="4" t="str">
        <f t="shared" si="8"/>
        <v>E0002045901</v>
      </c>
      <c r="E572" s="2" t="s">
        <v>166</v>
      </c>
      <c r="F572" s="2" t="s">
        <v>165</v>
      </c>
    </row>
    <row r="573" spans="1:6" x14ac:dyDescent="0.25">
      <c r="A573" s="2" t="s">
        <v>54</v>
      </c>
      <c r="B573" s="2" t="s">
        <v>55</v>
      </c>
      <c r="C573" s="4">
        <v>45902</v>
      </c>
      <c r="D573" s="4" t="str">
        <f t="shared" si="8"/>
        <v>E0002045902</v>
      </c>
      <c r="E573" s="2" t="s">
        <v>167</v>
      </c>
      <c r="F573" s="2" t="s">
        <v>162</v>
      </c>
    </row>
    <row r="574" spans="1:6" x14ac:dyDescent="0.25">
      <c r="A574" s="2" t="s">
        <v>54</v>
      </c>
      <c r="B574" s="2" t="s">
        <v>55</v>
      </c>
      <c r="C574" s="4">
        <v>45903</v>
      </c>
      <c r="D574" s="4" t="str">
        <f t="shared" si="8"/>
        <v>E0002045903</v>
      </c>
      <c r="E574" s="2" t="s">
        <v>168</v>
      </c>
      <c r="F574" s="2" t="s">
        <v>162</v>
      </c>
    </row>
    <row r="575" spans="1:6" x14ac:dyDescent="0.25">
      <c r="A575" s="2" t="s">
        <v>54</v>
      </c>
      <c r="B575" s="2" t="s">
        <v>55</v>
      </c>
      <c r="C575" s="4">
        <v>45904</v>
      </c>
      <c r="D575" s="4" t="str">
        <f t="shared" si="8"/>
        <v>E0002045904</v>
      </c>
      <c r="E575" s="2" t="s">
        <v>169</v>
      </c>
      <c r="F575" s="2" t="s">
        <v>163</v>
      </c>
    </row>
    <row r="576" spans="1:6" x14ac:dyDescent="0.25">
      <c r="A576" s="2" t="s">
        <v>54</v>
      </c>
      <c r="B576" s="2" t="s">
        <v>55</v>
      </c>
      <c r="C576" s="4">
        <v>45905</v>
      </c>
      <c r="D576" s="4" t="str">
        <f t="shared" si="8"/>
        <v>E0002045905</v>
      </c>
      <c r="E576" s="2" t="s">
        <v>170</v>
      </c>
      <c r="F576" s="2" t="s">
        <v>162</v>
      </c>
    </row>
    <row r="577" spans="1:6" x14ac:dyDescent="0.25">
      <c r="A577" s="2" t="s">
        <v>54</v>
      </c>
      <c r="B577" s="2" t="s">
        <v>55</v>
      </c>
      <c r="C577" s="4">
        <v>45906</v>
      </c>
      <c r="D577" s="4" t="str">
        <f t="shared" si="8"/>
        <v>E0002045906</v>
      </c>
      <c r="E577" s="2" t="s">
        <v>171</v>
      </c>
      <c r="F577" s="2" t="s">
        <v>165</v>
      </c>
    </row>
    <row r="578" spans="1:6" x14ac:dyDescent="0.25">
      <c r="A578" s="2" t="s">
        <v>54</v>
      </c>
      <c r="B578" s="2" t="s">
        <v>55</v>
      </c>
      <c r="C578" s="4">
        <v>45907</v>
      </c>
      <c r="D578" s="4" t="str">
        <f t="shared" si="8"/>
        <v>E0002045907</v>
      </c>
      <c r="E578" s="2" t="s">
        <v>172</v>
      </c>
      <c r="F578" s="2" t="s">
        <v>164</v>
      </c>
    </row>
    <row r="579" spans="1:6" x14ac:dyDescent="0.25">
      <c r="A579" s="2" t="s">
        <v>54</v>
      </c>
      <c r="B579" s="2" t="s">
        <v>55</v>
      </c>
      <c r="C579" s="4">
        <v>45908</v>
      </c>
      <c r="D579" s="4" t="str">
        <f t="shared" ref="D579:D601" si="9">A579&amp;C579</f>
        <v>E0002045908</v>
      </c>
      <c r="E579" s="2" t="s">
        <v>166</v>
      </c>
      <c r="F579" s="2" t="s">
        <v>162</v>
      </c>
    </row>
    <row r="580" spans="1:6" x14ac:dyDescent="0.25">
      <c r="A580" s="2" t="s">
        <v>54</v>
      </c>
      <c r="B580" s="2" t="s">
        <v>55</v>
      </c>
      <c r="C580" s="4">
        <v>45909</v>
      </c>
      <c r="D580" s="4" t="str">
        <f t="shared" si="9"/>
        <v>E0002045909</v>
      </c>
      <c r="E580" s="2" t="s">
        <v>167</v>
      </c>
      <c r="F580" s="2" t="s">
        <v>162</v>
      </c>
    </row>
    <row r="581" spans="1:6" x14ac:dyDescent="0.25">
      <c r="A581" s="2" t="s">
        <v>54</v>
      </c>
      <c r="B581" s="2" t="s">
        <v>55</v>
      </c>
      <c r="C581" s="4">
        <v>45910</v>
      </c>
      <c r="D581" s="4" t="str">
        <f t="shared" si="9"/>
        <v>E0002045910</v>
      </c>
      <c r="E581" s="2" t="s">
        <v>168</v>
      </c>
      <c r="F581" s="2" t="s">
        <v>162</v>
      </c>
    </row>
    <row r="582" spans="1:6" x14ac:dyDescent="0.25">
      <c r="A582" s="2" t="s">
        <v>54</v>
      </c>
      <c r="B582" s="2" t="s">
        <v>55</v>
      </c>
      <c r="C582" s="4">
        <v>45911</v>
      </c>
      <c r="D582" s="4" t="str">
        <f t="shared" si="9"/>
        <v>E0002045911</v>
      </c>
      <c r="E582" s="2" t="s">
        <v>169</v>
      </c>
      <c r="F582" s="2" t="s">
        <v>162</v>
      </c>
    </row>
    <row r="583" spans="1:6" x14ac:dyDescent="0.25">
      <c r="A583" s="2" t="s">
        <v>54</v>
      </c>
      <c r="B583" s="2" t="s">
        <v>55</v>
      </c>
      <c r="C583" s="4">
        <v>45912</v>
      </c>
      <c r="D583" s="4" t="str">
        <f t="shared" si="9"/>
        <v>E0002045912</v>
      </c>
      <c r="E583" s="2" t="s">
        <v>170</v>
      </c>
      <c r="F583" s="2" t="s">
        <v>162</v>
      </c>
    </row>
    <row r="584" spans="1:6" x14ac:dyDescent="0.25">
      <c r="A584" s="2" t="s">
        <v>54</v>
      </c>
      <c r="B584" s="2" t="s">
        <v>55</v>
      </c>
      <c r="C584" s="4">
        <v>45913</v>
      </c>
      <c r="D584" s="4" t="str">
        <f t="shared" si="9"/>
        <v>E0002045913</v>
      </c>
      <c r="E584" s="2" t="s">
        <v>171</v>
      </c>
      <c r="F584" s="2" t="s">
        <v>162</v>
      </c>
    </row>
    <row r="585" spans="1:6" x14ac:dyDescent="0.25">
      <c r="A585" s="2" t="s">
        <v>54</v>
      </c>
      <c r="B585" s="2" t="s">
        <v>55</v>
      </c>
      <c r="C585" s="4">
        <v>45914</v>
      </c>
      <c r="D585" s="4" t="str">
        <f t="shared" si="9"/>
        <v>E0002045914</v>
      </c>
      <c r="E585" s="2" t="s">
        <v>172</v>
      </c>
      <c r="F585" s="2" t="s">
        <v>164</v>
      </c>
    </row>
    <row r="586" spans="1:6" x14ac:dyDescent="0.25">
      <c r="A586" s="2" t="s">
        <v>54</v>
      </c>
      <c r="B586" s="2" t="s">
        <v>55</v>
      </c>
      <c r="C586" s="4">
        <v>45915</v>
      </c>
      <c r="D586" s="4" t="str">
        <f t="shared" si="9"/>
        <v>E0002045915</v>
      </c>
      <c r="E586" s="2" t="s">
        <v>166</v>
      </c>
      <c r="F586" s="2" t="s">
        <v>162</v>
      </c>
    </row>
    <row r="587" spans="1:6" x14ac:dyDescent="0.25">
      <c r="A587" s="2" t="s">
        <v>54</v>
      </c>
      <c r="B587" s="2" t="s">
        <v>55</v>
      </c>
      <c r="C587" s="4">
        <v>45916</v>
      </c>
      <c r="D587" s="4" t="str">
        <f t="shared" si="9"/>
        <v>E0002045916</v>
      </c>
      <c r="E587" s="2" t="s">
        <v>167</v>
      </c>
      <c r="F587" s="2" t="s">
        <v>162</v>
      </c>
    </row>
    <row r="588" spans="1:6" x14ac:dyDescent="0.25">
      <c r="A588" s="2" t="s">
        <v>54</v>
      </c>
      <c r="B588" s="2" t="s">
        <v>55</v>
      </c>
      <c r="C588" s="4">
        <v>45917</v>
      </c>
      <c r="D588" s="4" t="str">
        <f t="shared" si="9"/>
        <v>E0002045917</v>
      </c>
      <c r="E588" s="2" t="s">
        <v>168</v>
      </c>
      <c r="F588" s="2" t="s">
        <v>162</v>
      </c>
    </row>
    <row r="589" spans="1:6" x14ac:dyDescent="0.25">
      <c r="A589" s="2" t="s">
        <v>54</v>
      </c>
      <c r="B589" s="2" t="s">
        <v>55</v>
      </c>
      <c r="C589" s="4">
        <v>45918</v>
      </c>
      <c r="D589" s="4" t="str">
        <f t="shared" si="9"/>
        <v>E0002045918</v>
      </c>
      <c r="E589" s="2" t="s">
        <v>169</v>
      </c>
      <c r="F589" s="2" t="s">
        <v>162</v>
      </c>
    </row>
    <row r="590" spans="1:6" x14ac:dyDescent="0.25">
      <c r="A590" s="2" t="s">
        <v>54</v>
      </c>
      <c r="B590" s="2" t="s">
        <v>55</v>
      </c>
      <c r="C590" s="4">
        <v>45919</v>
      </c>
      <c r="D590" s="4" t="str">
        <f t="shared" si="9"/>
        <v>E0002045919</v>
      </c>
      <c r="E590" s="2" t="s">
        <v>170</v>
      </c>
      <c r="F590" s="2" t="s">
        <v>162</v>
      </c>
    </row>
    <row r="591" spans="1:6" x14ac:dyDescent="0.25">
      <c r="A591" s="2" t="s">
        <v>54</v>
      </c>
      <c r="B591" s="2" t="s">
        <v>55</v>
      </c>
      <c r="C591" s="4">
        <v>45920</v>
      </c>
      <c r="D591" s="4" t="str">
        <f t="shared" si="9"/>
        <v>E0002045920</v>
      </c>
      <c r="E591" s="2" t="s">
        <v>171</v>
      </c>
      <c r="F591" s="2" t="s">
        <v>162</v>
      </c>
    </row>
    <row r="592" spans="1:6" x14ac:dyDescent="0.25">
      <c r="A592" s="2" t="s">
        <v>54</v>
      </c>
      <c r="B592" s="2" t="s">
        <v>55</v>
      </c>
      <c r="C592" s="4">
        <v>45921</v>
      </c>
      <c r="D592" s="4" t="str">
        <f t="shared" si="9"/>
        <v>E0002045921</v>
      </c>
      <c r="E592" s="2" t="s">
        <v>172</v>
      </c>
      <c r="F592" s="2" t="s">
        <v>164</v>
      </c>
    </row>
    <row r="593" spans="1:6" x14ac:dyDescent="0.25">
      <c r="A593" s="2" t="s">
        <v>54</v>
      </c>
      <c r="B593" s="2" t="s">
        <v>55</v>
      </c>
      <c r="C593" s="4">
        <v>45922</v>
      </c>
      <c r="D593" s="4" t="str">
        <f t="shared" si="9"/>
        <v>E0002045922</v>
      </c>
      <c r="E593" s="2" t="s">
        <v>166</v>
      </c>
      <c r="F593" s="2" t="s">
        <v>165</v>
      </c>
    </row>
    <row r="594" spans="1:6" x14ac:dyDescent="0.25">
      <c r="A594" s="2" t="s">
        <v>54</v>
      </c>
      <c r="B594" s="2" t="s">
        <v>55</v>
      </c>
      <c r="C594" s="4">
        <v>45923</v>
      </c>
      <c r="D594" s="4" t="str">
        <f t="shared" si="9"/>
        <v>E0002045923</v>
      </c>
      <c r="E594" s="2" t="s">
        <v>167</v>
      </c>
      <c r="F594" s="2" t="s">
        <v>162</v>
      </c>
    </row>
    <row r="595" spans="1:6" x14ac:dyDescent="0.25">
      <c r="A595" s="2" t="s">
        <v>54</v>
      </c>
      <c r="B595" s="2" t="s">
        <v>55</v>
      </c>
      <c r="C595" s="4">
        <v>45924</v>
      </c>
      <c r="D595" s="4" t="str">
        <f t="shared" si="9"/>
        <v>E0002045924</v>
      </c>
      <c r="E595" s="2" t="s">
        <v>168</v>
      </c>
      <c r="F595" s="2" t="s">
        <v>162</v>
      </c>
    </row>
    <row r="596" spans="1:6" x14ac:dyDescent="0.25">
      <c r="A596" s="2" t="s">
        <v>54</v>
      </c>
      <c r="B596" s="2" t="s">
        <v>55</v>
      </c>
      <c r="C596" s="4">
        <v>45925</v>
      </c>
      <c r="D596" s="4" t="str">
        <f t="shared" si="9"/>
        <v>E0002045925</v>
      </c>
      <c r="E596" s="2" t="s">
        <v>169</v>
      </c>
      <c r="F596" s="2" t="s">
        <v>162</v>
      </c>
    </row>
    <row r="597" spans="1:6" x14ac:dyDescent="0.25">
      <c r="A597" s="2" t="s">
        <v>54</v>
      </c>
      <c r="B597" s="2" t="s">
        <v>55</v>
      </c>
      <c r="C597" s="4">
        <v>45926</v>
      </c>
      <c r="D597" s="4" t="str">
        <f t="shared" si="9"/>
        <v>E0002045926</v>
      </c>
      <c r="E597" s="2" t="s">
        <v>170</v>
      </c>
      <c r="F597" s="2" t="s">
        <v>162</v>
      </c>
    </row>
    <row r="598" spans="1:6" x14ac:dyDescent="0.25">
      <c r="A598" s="2" t="s">
        <v>54</v>
      </c>
      <c r="B598" s="2" t="s">
        <v>55</v>
      </c>
      <c r="C598" s="4">
        <v>45927</v>
      </c>
      <c r="D598" s="4" t="str">
        <f t="shared" si="9"/>
        <v>E0002045927</v>
      </c>
      <c r="E598" s="2" t="s">
        <v>171</v>
      </c>
      <c r="F598" s="2" t="s">
        <v>162</v>
      </c>
    </row>
    <row r="599" spans="1:6" x14ac:dyDescent="0.25">
      <c r="A599" s="2" t="s">
        <v>54</v>
      </c>
      <c r="B599" s="2" t="s">
        <v>55</v>
      </c>
      <c r="C599" s="4">
        <v>45928</v>
      </c>
      <c r="D599" s="4" t="str">
        <f t="shared" si="9"/>
        <v>E0002045928</v>
      </c>
      <c r="E599" s="2" t="s">
        <v>172</v>
      </c>
      <c r="F599" s="2" t="s">
        <v>164</v>
      </c>
    </row>
    <row r="600" spans="1:6" x14ac:dyDescent="0.25">
      <c r="A600" s="2" t="s">
        <v>54</v>
      </c>
      <c r="B600" s="2" t="s">
        <v>55</v>
      </c>
      <c r="C600" s="4">
        <v>45929</v>
      </c>
      <c r="D600" s="4" t="str">
        <f t="shared" si="9"/>
        <v>E0002045929</v>
      </c>
      <c r="E600" s="2" t="s">
        <v>166</v>
      </c>
      <c r="F600" s="2" t="s">
        <v>163</v>
      </c>
    </row>
    <row r="601" spans="1:6" x14ac:dyDescent="0.25">
      <c r="A601" s="2" t="s">
        <v>54</v>
      </c>
      <c r="B601" s="2" t="s">
        <v>55</v>
      </c>
      <c r="C601" s="4">
        <v>45930</v>
      </c>
      <c r="D601" s="4" t="str">
        <f t="shared" si="9"/>
        <v>E0002045930</v>
      </c>
      <c r="E601" s="2" t="s">
        <v>167</v>
      </c>
      <c r="F601" s="2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C87A-FF7E-4F6D-BF72-1B8ED2EB1B6F}">
  <dimension ref="A1:E21"/>
  <sheetViews>
    <sheetView zoomScale="160" zoomScaleNormal="160" workbookViewId="0"/>
  </sheetViews>
  <sheetFormatPr defaultRowHeight="15" x14ac:dyDescent="0.25"/>
  <cols>
    <col min="1" max="1" width="7.42578125" bestFit="1" customWidth="1"/>
    <col min="2" max="2" width="16.5703125" bestFit="1" customWidth="1"/>
  </cols>
  <sheetData>
    <row r="1" spans="1:5" x14ac:dyDescent="0.25">
      <c r="A1" s="8" t="s">
        <v>0</v>
      </c>
      <c r="B1" s="8" t="s">
        <v>1</v>
      </c>
      <c r="C1" s="7" t="s">
        <v>189</v>
      </c>
      <c r="D1" s="7" t="s">
        <v>7</v>
      </c>
      <c r="E1" s="7" t="s">
        <v>190</v>
      </c>
    </row>
    <row r="2" spans="1:5" x14ac:dyDescent="0.25">
      <c r="A2" s="2" t="s">
        <v>4</v>
      </c>
      <c r="B2" s="2" t="s">
        <v>5</v>
      </c>
      <c r="C2" s="2">
        <v>100000</v>
      </c>
      <c r="D2" s="2">
        <v>79116</v>
      </c>
      <c r="E2" s="3">
        <f>IF(D2&gt;=C2,D2*5%,0)</f>
        <v>0</v>
      </c>
    </row>
    <row r="3" spans="1:5" x14ac:dyDescent="0.25">
      <c r="A3" s="2" t="s">
        <v>8</v>
      </c>
      <c r="B3" s="2" t="s">
        <v>9</v>
      </c>
      <c r="C3" s="2">
        <v>100000</v>
      </c>
      <c r="D3" s="2">
        <v>78385</v>
      </c>
      <c r="E3" s="3">
        <f t="shared" ref="E3:E21" si="0">IF(D3&gt;=C3,D3*5%,0)</f>
        <v>0</v>
      </c>
    </row>
    <row r="4" spans="1:5" x14ac:dyDescent="0.25">
      <c r="A4" s="2" t="s">
        <v>12</v>
      </c>
      <c r="B4" s="2" t="s">
        <v>13</v>
      </c>
      <c r="C4" s="2">
        <v>100000</v>
      </c>
      <c r="D4" s="2">
        <v>119889</v>
      </c>
      <c r="E4" s="3">
        <f t="shared" si="0"/>
        <v>5994.4500000000007</v>
      </c>
    </row>
    <row r="5" spans="1:5" x14ac:dyDescent="0.25">
      <c r="A5" s="2" t="s">
        <v>16</v>
      </c>
      <c r="B5" s="2" t="s">
        <v>17</v>
      </c>
      <c r="C5" s="2">
        <v>100000</v>
      </c>
      <c r="D5" s="2">
        <v>119431</v>
      </c>
      <c r="E5" s="3">
        <f t="shared" si="0"/>
        <v>5971.55</v>
      </c>
    </row>
    <row r="6" spans="1:5" x14ac:dyDescent="0.25">
      <c r="A6" s="2" t="s">
        <v>18</v>
      </c>
      <c r="B6" s="2" t="s">
        <v>19</v>
      </c>
      <c r="C6" s="2">
        <v>100000</v>
      </c>
      <c r="D6" s="2">
        <v>78905</v>
      </c>
      <c r="E6" s="3">
        <f t="shared" si="0"/>
        <v>0</v>
      </c>
    </row>
    <row r="7" spans="1:5" x14ac:dyDescent="0.25">
      <c r="A7" s="2" t="s">
        <v>21</v>
      </c>
      <c r="B7" s="2" t="s">
        <v>22</v>
      </c>
      <c r="C7" s="2">
        <v>100000</v>
      </c>
      <c r="D7" s="2">
        <v>101840</v>
      </c>
      <c r="E7" s="3">
        <f t="shared" si="0"/>
        <v>5092</v>
      </c>
    </row>
    <row r="8" spans="1:5" x14ac:dyDescent="0.25">
      <c r="A8" s="2" t="s">
        <v>23</v>
      </c>
      <c r="B8" s="2" t="s">
        <v>24</v>
      </c>
      <c r="C8" s="2">
        <v>100000</v>
      </c>
      <c r="D8" s="2">
        <v>66315</v>
      </c>
      <c r="E8" s="3">
        <f t="shared" si="0"/>
        <v>0</v>
      </c>
    </row>
    <row r="9" spans="1:5" x14ac:dyDescent="0.25">
      <c r="A9" s="2" t="s">
        <v>26</v>
      </c>
      <c r="B9" s="2" t="s">
        <v>27</v>
      </c>
      <c r="C9" s="2">
        <v>100000</v>
      </c>
      <c r="D9" s="2">
        <v>66569</v>
      </c>
      <c r="E9" s="3">
        <f t="shared" si="0"/>
        <v>0</v>
      </c>
    </row>
    <row r="10" spans="1:5" x14ac:dyDescent="0.25">
      <c r="A10" s="2" t="s">
        <v>28</v>
      </c>
      <c r="B10" s="2" t="s">
        <v>29</v>
      </c>
      <c r="C10" s="2">
        <v>100000</v>
      </c>
      <c r="D10" s="2">
        <v>113809</v>
      </c>
      <c r="E10" s="3">
        <f t="shared" si="0"/>
        <v>5690.4500000000007</v>
      </c>
    </row>
    <row r="11" spans="1:5" x14ac:dyDescent="0.25">
      <c r="A11" s="2" t="s">
        <v>32</v>
      </c>
      <c r="B11" s="2" t="s">
        <v>33</v>
      </c>
      <c r="C11" s="2">
        <v>100000</v>
      </c>
      <c r="D11" s="2">
        <v>62195</v>
      </c>
      <c r="E11" s="3">
        <f t="shared" si="0"/>
        <v>0</v>
      </c>
    </row>
    <row r="12" spans="1:5" x14ac:dyDescent="0.25">
      <c r="A12" s="2" t="s">
        <v>34</v>
      </c>
      <c r="B12" s="2" t="s">
        <v>35</v>
      </c>
      <c r="C12" s="2">
        <v>100000</v>
      </c>
      <c r="D12" s="2">
        <v>77777</v>
      </c>
      <c r="E12" s="3">
        <f t="shared" si="0"/>
        <v>0</v>
      </c>
    </row>
    <row r="13" spans="1:5" x14ac:dyDescent="0.25">
      <c r="A13" s="2" t="s">
        <v>37</v>
      </c>
      <c r="B13" s="2" t="s">
        <v>38</v>
      </c>
      <c r="C13" s="2">
        <v>100000</v>
      </c>
      <c r="D13" s="2">
        <v>118439</v>
      </c>
      <c r="E13" s="3">
        <f t="shared" si="0"/>
        <v>5921.9500000000007</v>
      </c>
    </row>
    <row r="14" spans="1:5" x14ac:dyDescent="0.25">
      <c r="A14" s="2" t="s">
        <v>39</v>
      </c>
      <c r="B14" s="2" t="s">
        <v>40</v>
      </c>
      <c r="C14" s="2">
        <v>100000</v>
      </c>
      <c r="D14" s="2">
        <v>119521</v>
      </c>
      <c r="E14" s="3">
        <f t="shared" si="0"/>
        <v>5976.05</v>
      </c>
    </row>
    <row r="15" spans="1:5" x14ac:dyDescent="0.25">
      <c r="A15" s="2" t="s">
        <v>42</v>
      </c>
      <c r="B15" s="2" t="s">
        <v>43</v>
      </c>
      <c r="C15" s="2">
        <v>100000</v>
      </c>
      <c r="D15" s="2">
        <v>64255</v>
      </c>
      <c r="E15" s="3">
        <f t="shared" si="0"/>
        <v>0</v>
      </c>
    </row>
    <row r="16" spans="1:5" x14ac:dyDescent="0.25">
      <c r="A16" s="2" t="s">
        <v>44</v>
      </c>
      <c r="B16" s="2" t="s">
        <v>45</v>
      </c>
      <c r="C16" s="2">
        <v>100000</v>
      </c>
      <c r="D16" s="2">
        <v>112916</v>
      </c>
      <c r="E16" s="3">
        <f t="shared" si="0"/>
        <v>5645.8</v>
      </c>
    </row>
    <row r="17" spans="1:5" x14ac:dyDescent="0.25">
      <c r="A17" s="2" t="s">
        <v>46</v>
      </c>
      <c r="B17" s="2" t="s">
        <v>47</v>
      </c>
      <c r="C17" s="2">
        <v>100000</v>
      </c>
      <c r="D17" s="2">
        <v>52177</v>
      </c>
      <c r="E17" s="3">
        <f t="shared" si="0"/>
        <v>0</v>
      </c>
    </row>
    <row r="18" spans="1:5" x14ac:dyDescent="0.25">
      <c r="A18" s="2" t="s">
        <v>48</v>
      </c>
      <c r="B18" s="2" t="s">
        <v>49</v>
      </c>
      <c r="C18" s="2">
        <v>100000</v>
      </c>
      <c r="D18" s="2">
        <v>63656</v>
      </c>
      <c r="E18" s="3">
        <f t="shared" si="0"/>
        <v>0</v>
      </c>
    </row>
    <row r="19" spans="1:5" x14ac:dyDescent="0.25">
      <c r="A19" s="2" t="s">
        <v>50</v>
      </c>
      <c r="B19" s="2" t="s">
        <v>51</v>
      </c>
      <c r="C19" s="2">
        <v>100000</v>
      </c>
      <c r="D19" s="2">
        <v>67548</v>
      </c>
      <c r="E19" s="3">
        <f t="shared" si="0"/>
        <v>0</v>
      </c>
    </row>
    <row r="20" spans="1:5" x14ac:dyDescent="0.25">
      <c r="A20" s="2" t="s">
        <v>52</v>
      </c>
      <c r="B20" s="2" t="s">
        <v>53</v>
      </c>
      <c r="C20" s="2">
        <v>100000</v>
      </c>
      <c r="D20" s="2">
        <v>62550</v>
      </c>
      <c r="E20" s="3">
        <f t="shared" si="0"/>
        <v>0</v>
      </c>
    </row>
    <row r="21" spans="1:5" x14ac:dyDescent="0.25">
      <c r="A21" s="2" t="s">
        <v>54</v>
      </c>
      <c r="B21" s="2" t="s">
        <v>55</v>
      </c>
      <c r="C21" s="2">
        <v>100000</v>
      </c>
      <c r="D21" s="2">
        <v>79118</v>
      </c>
      <c r="E21" s="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Pal</dc:creator>
  <cp:lastModifiedBy>Soumyajeet Sur</cp:lastModifiedBy>
  <dcterms:created xsi:type="dcterms:W3CDTF">2015-06-05T18:17:20Z</dcterms:created>
  <dcterms:modified xsi:type="dcterms:W3CDTF">2025-12-03T16:57:34Z</dcterms:modified>
</cp:coreProperties>
</file>