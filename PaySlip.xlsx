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Excel Files\PaySlip\"/>
    </mc:Choice>
  </mc:AlternateContent>
  <xr:revisionPtr revIDLastSave="0" documentId="13_ncr:1_{9C0F967D-50C2-4AEB-BA24-560D7C473E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2OAaISu6jXSRuD5HhmOas9O2HWbe0WLMz0gNuY2kSY="/>
    </ext>
  </extLst>
</workbook>
</file>

<file path=xl/calcChain.xml><?xml version="1.0" encoding="utf-8"?>
<calcChain xmlns="http://schemas.openxmlformats.org/spreadsheetml/2006/main">
  <c r="F17" i="2" l="1"/>
  <c r="D11" i="2"/>
  <c r="F10" i="2"/>
  <c r="D10" i="2"/>
  <c r="F9" i="2"/>
  <c r="D9" i="2"/>
  <c r="F8" i="2"/>
  <c r="D8" i="2"/>
  <c r="F7" i="2"/>
  <c r="D7" i="2"/>
  <c r="F6" i="2"/>
  <c r="BD53" i="1"/>
  <c r="AW53" i="1"/>
  <c r="AV53" i="1"/>
  <c r="AU53" i="1"/>
  <c r="AX53" i="1" s="1"/>
  <c r="AT53" i="1"/>
  <c r="AS53" i="1"/>
  <c r="AR53" i="1"/>
  <c r="BD52" i="1"/>
  <c r="AX52" i="1"/>
  <c r="AW52" i="1"/>
  <c r="AV52" i="1"/>
  <c r="AU52" i="1"/>
  <c r="AT52" i="1"/>
  <c r="AS52" i="1"/>
  <c r="AR52" i="1"/>
  <c r="BD51" i="1"/>
  <c r="AW51" i="1"/>
  <c r="AV51" i="1"/>
  <c r="AU51" i="1"/>
  <c r="AT51" i="1"/>
  <c r="AS51" i="1"/>
  <c r="AX51" i="1" s="1"/>
  <c r="BC51" i="1" s="1"/>
  <c r="AR51" i="1"/>
  <c r="BD50" i="1"/>
  <c r="AW50" i="1"/>
  <c r="AV50" i="1"/>
  <c r="AU50" i="1"/>
  <c r="AT50" i="1"/>
  <c r="AX50" i="1" s="1"/>
  <c r="AS50" i="1"/>
  <c r="AR50" i="1"/>
  <c r="BD49" i="1"/>
  <c r="AW49" i="1"/>
  <c r="AV49" i="1"/>
  <c r="AU49" i="1"/>
  <c r="AX49" i="1" s="1"/>
  <c r="AT49" i="1"/>
  <c r="AS49" i="1"/>
  <c r="AR49" i="1"/>
  <c r="BD48" i="1"/>
  <c r="AX48" i="1"/>
  <c r="AZ48" i="1" s="1"/>
  <c r="AW48" i="1"/>
  <c r="AV48" i="1"/>
  <c r="AU48" i="1"/>
  <c r="AT48" i="1"/>
  <c r="AS48" i="1"/>
  <c r="AR48" i="1"/>
  <c r="BD47" i="1"/>
  <c r="AZ47" i="1"/>
  <c r="AW47" i="1"/>
  <c r="AV47" i="1"/>
  <c r="AU47" i="1"/>
  <c r="AT47" i="1"/>
  <c r="AS47" i="1"/>
  <c r="AX47" i="1" s="1"/>
  <c r="BC47" i="1" s="1"/>
  <c r="AR47" i="1"/>
  <c r="BD46" i="1"/>
  <c r="AW46" i="1"/>
  <c r="AV46" i="1"/>
  <c r="AU46" i="1"/>
  <c r="AT46" i="1"/>
  <c r="AX46" i="1" s="1"/>
  <c r="AS46" i="1"/>
  <c r="AR46" i="1"/>
  <c r="BD45" i="1"/>
  <c r="AW45" i="1"/>
  <c r="AV45" i="1"/>
  <c r="AU45" i="1"/>
  <c r="AX45" i="1" s="1"/>
  <c r="AT45" i="1"/>
  <c r="AS45" i="1"/>
  <c r="AR45" i="1"/>
  <c r="BD44" i="1"/>
  <c r="AX44" i="1"/>
  <c r="AW44" i="1"/>
  <c r="AV44" i="1"/>
  <c r="AU44" i="1"/>
  <c r="AT44" i="1"/>
  <c r="AS44" i="1"/>
  <c r="AR44" i="1"/>
  <c r="BD43" i="1"/>
  <c r="AZ43" i="1"/>
  <c r="AW43" i="1"/>
  <c r="AV43" i="1"/>
  <c r="AU43" i="1"/>
  <c r="AT43" i="1"/>
  <c r="AS43" i="1"/>
  <c r="AX43" i="1" s="1"/>
  <c r="BC43" i="1" s="1"/>
  <c r="AR43" i="1"/>
  <c r="BD42" i="1"/>
  <c r="AW42" i="1"/>
  <c r="AV42" i="1"/>
  <c r="AU42" i="1"/>
  <c r="AT42" i="1"/>
  <c r="AX42" i="1" s="1"/>
  <c r="AS42" i="1"/>
  <c r="AR42" i="1"/>
  <c r="BD41" i="1"/>
  <c r="AW41" i="1"/>
  <c r="AV41" i="1"/>
  <c r="AU41" i="1"/>
  <c r="AX41" i="1" s="1"/>
  <c r="AT41" i="1"/>
  <c r="AS41" i="1"/>
  <c r="AR41" i="1"/>
  <c r="BD40" i="1"/>
  <c r="AX40" i="1"/>
  <c r="AZ40" i="1" s="1"/>
  <c r="AW40" i="1"/>
  <c r="AV40" i="1"/>
  <c r="AU40" i="1"/>
  <c r="AT40" i="1"/>
  <c r="AS40" i="1"/>
  <c r="AR40" i="1"/>
  <c r="BD39" i="1"/>
  <c r="AZ39" i="1"/>
  <c r="AW39" i="1"/>
  <c r="AV39" i="1"/>
  <c r="AU39" i="1"/>
  <c r="AT39" i="1"/>
  <c r="AS39" i="1"/>
  <c r="AX39" i="1" s="1"/>
  <c r="BC39" i="1" s="1"/>
  <c r="AR39" i="1"/>
  <c r="BD38" i="1"/>
  <c r="AW38" i="1"/>
  <c r="AV38" i="1"/>
  <c r="AU38" i="1"/>
  <c r="AT38" i="1"/>
  <c r="AX38" i="1" s="1"/>
  <c r="AS38" i="1"/>
  <c r="AR38" i="1"/>
  <c r="BD37" i="1"/>
  <c r="AW37" i="1"/>
  <c r="AV37" i="1"/>
  <c r="AU37" i="1"/>
  <c r="AX37" i="1" s="1"/>
  <c r="AT37" i="1"/>
  <c r="AS37" i="1"/>
  <c r="AR37" i="1"/>
  <c r="BD36" i="1"/>
  <c r="AX36" i="1"/>
  <c r="AW36" i="1"/>
  <c r="AV36" i="1"/>
  <c r="AU36" i="1"/>
  <c r="AT36" i="1"/>
  <c r="AS36" i="1"/>
  <c r="AR36" i="1"/>
  <c r="BD35" i="1"/>
  <c r="AW35" i="1"/>
  <c r="AV35" i="1"/>
  <c r="AU35" i="1"/>
  <c r="AT35" i="1"/>
  <c r="AS35" i="1"/>
  <c r="AX35" i="1" s="1"/>
  <c r="BC35" i="1" s="1"/>
  <c r="AR35" i="1"/>
  <c r="BD34" i="1"/>
  <c r="AW34" i="1"/>
  <c r="AV34" i="1"/>
  <c r="AU34" i="1"/>
  <c r="AT34" i="1"/>
  <c r="AX34" i="1" s="1"/>
  <c r="AS34" i="1"/>
  <c r="AR34" i="1"/>
  <c r="BD33" i="1"/>
  <c r="AW33" i="1"/>
  <c r="AV33" i="1"/>
  <c r="AU33" i="1"/>
  <c r="AX33" i="1" s="1"/>
  <c r="AT33" i="1"/>
  <c r="AS33" i="1"/>
  <c r="AR33" i="1"/>
  <c r="BD32" i="1"/>
  <c r="AW32" i="1"/>
  <c r="AV32" i="1"/>
  <c r="AU32" i="1"/>
  <c r="AT32" i="1"/>
  <c r="AS32" i="1"/>
  <c r="AX32" i="1" s="1"/>
  <c r="AZ32" i="1" s="1"/>
  <c r="AR32" i="1"/>
  <c r="BD31" i="1"/>
  <c r="AW31" i="1"/>
  <c r="AV31" i="1"/>
  <c r="AU31" i="1"/>
  <c r="AT31" i="1"/>
  <c r="AX31" i="1" s="1"/>
  <c r="AS31" i="1"/>
  <c r="AR31" i="1"/>
  <c r="BD30" i="1"/>
  <c r="AW30" i="1"/>
  <c r="AV30" i="1"/>
  <c r="AU30" i="1"/>
  <c r="AT30" i="1"/>
  <c r="AX30" i="1" s="1"/>
  <c r="AS30" i="1"/>
  <c r="AR30" i="1"/>
  <c r="BD29" i="1"/>
  <c r="AW29" i="1"/>
  <c r="AV29" i="1"/>
  <c r="AU29" i="1"/>
  <c r="AT29" i="1"/>
  <c r="AS29" i="1"/>
  <c r="AR29" i="1"/>
  <c r="BD28" i="1"/>
  <c r="AW28" i="1"/>
  <c r="AV28" i="1"/>
  <c r="AU28" i="1"/>
  <c r="AX28" i="1" s="1"/>
  <c r="AT28" i="1"/>
  <c r="AS28" i="1"/>
  <c r="AR28" i="1"/>
  <c r="BD27" i="1"/>
  <c r="AW27" i="1"/>
  <c r="AV27" i="1"/>
  <c r="AU27" i="1"/>
  <c r="AT27" i="1"/>
  <c r="AS27" i="1"/>
  <c r="AX27" i="1" s="1"/>
  <c r="AR27" i="1"/>
  <c r="BD26" i="1"/>
  <c r="AW26" i="1"/>
  <c r="AV26" i="1"/>
  <c r="AU26" i="1"/>
  <c r="AT26" i="1"/>
  <c r="AX26" i="1" s="1"/>
  <c r="AS26" i="1"/>
  <c r="AR26" i="1"/>
  <c r="BD25" i="1"/>
  <c r="AW25" i="1"/>
  <c r="AV25" i="1"/>
  <c r="AU25" i="1"/>
  <c r="AT25" i="1"/>
  <c r="AS25" i="1"/>
  <c r="AX25" i="1" s="1"/>
  <c r="BC25" i="1" s="1"/>
  <c r="AR25" i="1"/>
  <c r="BD24" i="1"/>
  <c r="AW24" i="1"/>
  <c r="AV24" i="1"/>
  <c r="AU24" i="1"/>
  <c r="AT24" i="1"/>
  <c r="AS24" i="1"/>
  <c r="AR24" i="1"/>
  <c r="BD23" i="1"/>
  <c r="AW23" i="1"/>
  <c r="AV23" i="1"/>
  <c r="AU23" i="1"/>
  <c r="AT23" i="1"/>
  <c r="AS23" i="1"/>
  <c r="AX23" i="1" s="1"/>
  <c r="AR23" i="1"/>
  <c r="BD22" i="1"/>
  <c r="AW22" i="1"/>
  <c r="AV22" i="1"/>
  <c r="AU22" i="1"/>
  <c r="AT22" i="1"/>
  <c r="AX22" i="1" s="1"/>
  <c r="AS22" i="1"/>
  <c r="AR22" i="1"/>
  <c r="BD21" i="1"/>
  <c r="AW21" i="1"/>
  <c r="AV21" i="1"/>
  <c r="AU21" i="1"/>
  <c r="AT21" i="1"/>
  <c r="AS21" i="1"/>
  <c r="AR21" i="1"/>
  <c r="BD20" i="1"/>
  <c r="AW20" i="1"/>
  <c r="AV20" i="1"/>
  <c r="AU20" i="1"/>
  <c r="AT20" i="1"/>
  <c r="AX20" i="1" s="1"/>
  <c r="AS20" i="1"/>
  <c r="AR20" i="1"/>
  <c r="BD19" i="1"/>
  <c r="AW19" i="1"/>
  <c r="AV19" i="1"/>
  <c r="AU19" i="1"/>
  <c r="AT19" i="1"/>
  <c r="AS19" i="1"/>
  <c r="AX19" i="1" s="1"/>
  <c r="AR19" i="1"/>
  <c r="BD18" i="1"/>
  <c r="AW18" i="1"/>
  <c r="AV18" i="1"/>
  <c r="AU18" i="1"/>
  <c r="AT18" i="1"/>
  <c r="AX18" i="1" s="1"/>
  <c r="AS18" i="1"/>
  <c r="AR18" i="1"/>
  <c r="BD17" i="1"/>
  <c r="AW17" i="1"/>
  <c r="AV17" i="1"/>
  <c r="AU17" i="1"/>
  <c r="AT17" i="1"/>
  <c r="AS17" i="1"/>
  <c r="AX17" i="1" s="1"/>
  <c r="BC17" i="1" s="1"/>
  <c r="AR17" i="1"/>
  <c r="BD16" i="1"/>
  <c r="AW16" i="1"/>
  <c r="AV16" i="1"/>
  <c r="AU16" i="1"/>
  <c r="AT16" i="1"/>
  <c r="AS16" i="1"/>
  <c r="AR16" i="1"/>
  <c r="BD15" i="1"/>
  <c r="AW15" i="1"/>
  <c r="AV15" i="1"/>
  <c r="AU15" i="1"/>
  <c r="AT15" i="1"/>
  <c r="AS15" i="1"/>
  <c r="AR15" i="1"/>
  <c r="BD14" i="1"/>
  <c r="AW14" i="1"/>
  <c r="AV14" i="1"/>
  <c r="AU14" i="1"/>
  <c r="AT14" i="1"/>
  <c r="AS14" i="1"/>
  <c r="AX14" i="1" s="1"/>
  <c r="AR14" i="1"/>
  <c r="BD13" i="1"/>
  <c r="AW13" i="1"/>
  <c r="AV13" i="1"/>
  <c r="AU13" i="1"/>
  <c r="AT13" i="1"/>
  <c r="AX13" i="1" s="1"/>
  <c r="AS13" i="1"/>
  <c r="AR13" i="1"/>
  <c r="BD12" i="1"/>
  <c r="AW12" i="1"/>
  <c r="AV12" i="1"/>
  <c r="AU12" i="1"/>
  <c r="AX12" i="1" s="1"/>
  <c r="AT12" i="1"/>
  <c r="AS12" i="1"/>
  <c r="AR12" i="1"/>
  <c r="BD11" i="1"/>
  <c r="AW11" i="1"/>
  <c r="AV11" i="1"/>
  <c r="AU11" i="1"/>
  <c r="AT11" i="1"/>
  <c r="AS11" i="1"/>
  <c r="AX11" i="1" s="1"/>
  <c r="AR11" i="1"/>
  <c r="BD10" i="1"/>
  <c r="AW10" i="1"/>
  <c r="AV10" i="1"/>
  <c r="AU10" i="1"/>
  <c r="AT10" i="1"/>
  <c r="AS10" i="1"/>
  <c r="AX10" i="1" s="1"/>
  <c r="AR10" i="1"/>
  <c r="BD9" i="1"/>
  <c r="AW9" i="1"/>
  <c r="AV9" i="1"/>
  <c r="AU9" i="1"/>
  <c r="AT9" i="1"/>
  <c r="AX9" i="1" s="1"/>
  <c r="AS9" i="1"/>
  <c r="AR9" i="1"/>
  <c r="BD8" i="1"/>
  <c r="AW8" i="1"/>
  <c r="AV8" i="1"/>
  <c r="AU8" i="1"/>
  <c r="AX8" i="1" s="1"/>
  <c r="AT8" i="1"/>
  <c r="AS8" i="1"/>
  <c r="AR8" i="1"/>
  <c r="BD7" i="1"/>
  <c r="AW7" i="1"/>
  <c r="AV7" i="1"/>
  <c r="AU7" i="1"/>
  <c r="AT7" i="1"/>
  <c r="AS7" i="1"/>
  <c r="AX7" i="1" s="1"/>
  <c r="AR7" i="1"/>
  <c r="BD6" i="1"/>
  <c r="AW6" i="1"/>
  <c r="AV6" i="1"/>
  <c r="AU6" i="1"/>
  <c r="AT6" i="1"/>
  <c r="AS6" i="1"/>
  <c r="AX6" i="1" s="1"/>
  <c r="AR6" i="1"/>
  <c r="BD5" i="1"/>
  <c r="AW5" i="1"/>
  <c r="AV5" i="1"/>
  <c r="AU5" i="1"/>
  <c r="AT5" i="1"/>
  <c r="AX5" i="1" s="1"/>
  <c r="AS5" i="1"/>
  <c r="AR5" i="1"/>
  <c r="BD4" i="1"/>
  <c r="D17" i="2" s="1"/>
  <c r="AW4" i="1"/>
  <c r="AV4" i="1"/>
  <c r="AU4" i="1"/>
  <c r="AX4" i="1" s="1"/>
  <c r="AT4" i="1"/>
  <c r="AS4" i="1"/>
  <c r="AR4" i="1"/>
  <c r="AZ5" i="1" l="1"/>
  <c r="BC5" i="1"/>
  <c r="BC9" i="1"/>
  <c r="AZ9" i="1"/>
  <c r="AZ13" i="1"/>
  <c r="BC13" i="1"/>
  <c r="AZ7" i="1"/>
  <c r="BC7" i="1"/>
  <c r="AZ11" i="1"/>
  <c r="BC11" i="1"/>
  <c r="F11" i="2"/>
  <c r="BC4" i="1"/>
  <c r="D16" i="2" s="1"/>
  <c r="AZ4" i="1"/>
  <c r="AZ6" i="1"/>
  <c r="BC6" i="1"/>
  <c r="BC8" i="1"/>
  <c r="AZ8" i="1"/>
  <c r="AZ10" i="1"/>
  <c r="BC10" i="1"/>
  <c r="BC12" i="1"/>
  <c r="AZ12" i="1"/>
  <c r="AZ14" i="1"/>
  <c r="BC14" i="1"/>
  <c r="BC31" i="1"/>
  <c r="AZ31" i="1"/>
  <c r="AZ18" i="1"/>
  <c r="BC18" i="1"/>
  <c r="AZ22" i="1"/>
  <c r="BC22" i="1"/>
  <c r="AZ26" i="1"/>
  <c r="BC26" i="1"/>
  <c r="AZ30" i="1"/>
  <c r="BC30" i="1"/>
  <c r="AZ34" i="1"/>
  <c r="BC34" i="1"/>
  <c r="AZ44" i="1"/>
  <c r="BC44" i="1"/>
  <c r="AX15" i="1"/>
  <c r="AZ20" i="1"/>
  <c r="BC20" i="1"/>
  <c r="BF32" i="1"/>
  <c r="BB32" i="1"/>
  <c r="BA32" i="1"/>
  <c r="BH32" i="1" s="1"/>
  <c r="BI32" i="1"/>
  <c r="BC33" i="1"/>
  <c r="AZ33" i="1"/>
  <c r="AZ53" i="1"/>
  <c r="BC53" i="1"/>
  <c r="AX16" i="1"/>
  <c r="AZ17" i="1"/>
  <c r="AZ19" i="1"/>
  <c r="BC19" i="1"/>
  <c r="AZ25" i="1"/>
  <c r="AZ27" i="1"/>
  <c r="BC27" i="1"/>
  <c r="AZ28" i="1"/>
  <c r="BC28" i="1"/>
  <c r="BC32" i="1"/>
  <c r="BE32" i="1" s="1"/>
  <c r="AZ37" i="1"/>
  <c r="BC37" i="1"/>
  <c r="AZ45" i="1"/>
  <c r="BC45" i="1"/>
  <c r="AZ23" i="1"/>
  <c r="BC23" i="1"/>
  <c r="AZ36" i="1"/>
  <c r="BC36" i="1"/>
  <c r="BB39" i="1"/>
  <c r="BI39" i="1"/>
  <c r="BE39" i="1"/>
  <c r="BA39" i="1"/>
  <c r="BF39" i="1" s="1"/>
  <c r="BH39" i="1"/>
  <c r="BB47" i="1"/>
  <c r="BA47" i="1"/>
  <c r="BI47" i="1" s="1"/>
  <c r="BH47" i="1"/>
  <c r="AX21" i="1"/>
  <c r="AX24" i="1"/>
  <c r="AX29" i="1"/>
  <c r="AZ52" i="1"/>
  <c r="BC52" i="1"/>
  <c r="AZ38" i="1"/>
  <c r="BC38" i="1"/>
  <c r="AZ46" i="1"/>
  <c r="BC46" i="1"/>
  <c r="BB40" i="1"/>
  <c r="BI40" i="1"/>
  <c r="BA40" i="1"/>
  <c r="BE40" i="1" s="1"/>
  <c r="BH40" i="1"/>
  <c r="AZ41" i="1"/>
  <c r="BC41" i="1"/>
  <c r="BB43" i="1"/>
  <c r="BI43" i="1"/>
  <c r="BA43" i="1"/>
  <c r="BH43" i="1" s="1"/>
  <c r="BB48" i="1"/>
  <c r="BA48" i="1"/>
  <c r="BI48" i="1" s="1"/>
  <c r="BH48" i="1"/>
  <c r="AZ49" i="1"/>
  <c r="BC49" i="1"/>
  <c r="AZ51" i="1"/>
  <c r="AZ35" i="1"/>
  <c r="BC40" i="1"/>
  <c r="AZ42" i="1"/>
  <c r="BC42" i="1"/>
  <c r="BC48" i="1"/>
  <c r="AZ50" i="1"/>
  <c r="BC50" i="1"/>
  <c r="BL32" i="1" l="1"/>
  <c r="BK32" i="1"/>
  <c r="BJ32" i="1"/>
  <c r="BG32" i="1"/>
  <c r="BN32" i="1" s="1"/>
  <c r="BJ40" i="1"/>
  <c r="BL40" i="1"/>
  <c r="BK40" i="1"/>
  <c r="BG40" i="1"/>
  <c r="BE41" i="1"/>
  <c r="BA41" i="1"/>
  <c r="BH41" i="1" s="1"/>
  <c r="BB41" i="1"/>
  <c r="BF46" i="1"/>
  <c r="BB46" i="1"/>
  <c r="BE46" i="1"/>
  <c r="BA46" i="1"/>
  <c r="BH46" i="1" s="1"/>
  <c r="BI46" i="1"/>
  <c r="BA33" i="1"/>
  <c r="BI33" i="1" s="1"/>
  <c r="BH33" i="1"/>
  <c r="BB33" i="1"/>
  <c r="BE33" i="1" s="1"/>
  <c r="BF48" i="1"/>
  <c r="BC29" i="1"/>
  <c r="AZ29" i="1"/>
  <c r="BF47" i="1"/>
  <c r="BB36" i="1"/>
  <c r="BI36" i="1"/>
  <c r="BE36" i="1"/>
  <c r="BA36" i="1"/>
  <c r="BF36" i="1" s="1"/>
  <c r="BH36" i="1"/>
  <c r="BI45" i="1"/>
  <c r="BE45" i="1"/>
  <c r="BA45" i="1"/>
  <c r="BH45" i="1"/>
  <c r="BB45" i="1"/>
  <c r="BF45" i="1"/>
  <c r="BB25" i="1"/>
  <c r="BI25" i="1"/>
  <c r="BE25" i="1"/>
  <c r="BA25" i="1"/>
  <c r="BF25" i="1" s="1"/>
  <c r="BH25" i="1"/>
  <c r="AZ16" i="1"/>
  <c r="BC16" i="1"/>
  <c r="BF20" i="1"/>
  <c r="BB20" i="1"/>
  <c r="BE20" i="1"/>
  <c r="BA20" i="1"/>
  <c r="BH20" i="1" s="1"/>
  <c r="BI20" i="1"/>
  <c r="BH7" i="1"/>
  <c r="BI7" i="1"/>
  <c r="BA7" i="1"/>
  <c r="BE7" i="1" s="1"/>
  <c r="BF7" i="1"/>
  <c r="BB7" i="1"/>
  <c r="BK39" i="1"/>
  <c r="BG39" i="1"/>
  <c r="BJ39" i="1"/>
  <c r="BN39" i="1"/>
  <c r="BL39" i="1"/>
  <c r="BB17" i="1"/>
  <c r="BI17" i="1"/>
  <c r="BA17" i="1"/>
  <c r="BE17" i="1" s="1"/>
  <c r="BH17" i="1"/>
  <c r="BF30" i="1"/>
  <c r="BB30" i="1"/>
  <c r="BA30" i="1"/>
  <c r="BH30" i="1" s="1"/>
  <c r="BF40" i="1"/>
  <c r="BN40" i="1" s="1"/>
  <c r="BF38" i="1"/>
  <c r="BB38" i="1"/>
  <c r="BA38" i="1"/>
  <c r="BE38" i="1" s="1"/>
  <c r="BI38" i="1"/>
  <c r="BE47" i="1"/>
  <c r="BF28" i="1"/>
  <c r="BB28" i="1"/>
  <c r="BA28" i="1"/>
  <c r="BE28" i="1" s="1"/>
  <c r="BI28" i="1"/>
  <c r="BC15" i="1"/>
  <c r="AZ15" i="1"/>
  <c r="BF34" i="1"/>
  <c r="BB34" i="1"/>
  <c r="BE34" i="1" s="1"/>
  <c r="BA34" i="1"/>
  <c r="BI34" i="1" s="1"/>
  <c r="BB26" i="1"/>
  <c r="BA26" i="1"/>
  <c r="BH26" i="1" s="1"/>
  <c r="BB18" i="1"/>
  <c r="BI18" i="1"/>
  <c r="BA18" i="1"/>
  <c r="BE18" i="1" s="1"/>
  <c r="BH18" i="1"/>
  <c r="BI14" i="1"/>
  <c r="BA14" i="1"/>
  <c r="BE14" i="1" s="1"/>
  <c r="BB14" i="1"/>
  <c r="BH14" i="1"/>
  <c r="BA10" i="1"/>
  <c r="BH10" i="1" s="1"/>
  <c r="BB10" i="1"/>
  <c r="BI6" i="1"/>
  <c r="BA6" i="1"/>
  <c r="BE6" i="1" s="1"/>
  <c r="BH6" i="1"/>
  <c r="BF6" i="1"/>
  <c r="BB6" i="1"/>
  <c r="BA35" i="1"/>
  <c r="BH35" i="1" s="1"/>
  <c r="BB35" i="1"/>
  <c r="BB52" i="1"/>
  <c r="BA52" i="1"/>
  <c r="BH52" i="1" s="1"/>
  <c r="BA27" i="1"/>
  <c r="BH27" i="1" s="1"/>
  <c r="BB27" i="1"/>
  <c r="BB44" i="1"/>
  <c r="BA44" i="1"/>
  <c r="BH44" i="1" s="1"/>
  <c r="BB22" i="1"/>
  <c r="BE22" i="1" s="1"/>
  <c r="BI22" i="1"/>
  <c r="BA22" i="1"/>
  <c r="BF22" i="1" s="1"/>
  <c r="BH22" i="1"/>
  <c r="BB9" i="1"/>
  <c r="BA9" i="1"/>
  <c r="BH9" i="1" s="1"/>
  <c r="BB51" i="1"/>
  <c r="BE51" i="1" s="1"/>
  <c r="BI51" i="1"/>
  <c r="BA51" i="1"/>
  <c r="BF51" i="1" s="1"/>
  <c r="BH51" i="1"/>
  <c r="BH42" i="1"/>
  <c r="BB42" i="1"/>
  <c r="BA42" i="1"/>
  <c r="BF42" i="1" s="1"/>
  <c r="BI42" i="1"/>
  <c r="BE48" i="1"/>
  <c r="BF43" i="1"/>
  <c r="AZ24" i="1"/>
  <c r="BC24" i="1"/>
  <c r="BF50" i="1"/>
  <c r="BB50" i="1"/>
  <c r="BE50" i="1" s="1"/>
  <c r="BA50" i="1"/>
  <c r="BH50" i="1" s="1"/>
  <c r="BI50" i="1"/>
  <c r="BI49" i="1"/>
  <c r="BA49" i="1"/>
  <c r="BE49" i="1" s="1"/>
  <c r="BH49" i="1"/>
  <c r="BF49" i="1"/>
  <c r="BB49" i="1"/>
  <c r="BE43" i="1"/>
  <c r="BC21" i="1"/>
  <c r="AZ21" i="1"/>
  <c r="BA23" i="1"/>
  <c r="BI23" i="1" s="1"/>
  <c r="BH23" i="1"/>
  <c r="BB23" i="1"/>
  <c r="BI37" i="1"/>
  <c r="BE37" i="1"/>
  <c r="BA37" i="1"/>
  <c r="BH37" i="1"/>
  <c r="BB37" i="1"/>
  <c r="BF37" i="1"/>
  <c r="BA19" i="1"/>
  <c r="BI19" i="1" s="1"/>
  <c r="BH19" i="1"/>
  <c r="BB19" i="1"/>
  <c r="BI53" i="1"/>
  <c r="BE53" i="1"/>
  <c r="BA53" i="1"/>
  <c r="BH53" i="1"/>
  <c r="BB53" i="1"/>
  <c r="BF53" i="1"/>
  <c r="BA31" i="1"/>
  <c r="BI31" i="1" s="1"/>
  <c r="BH31" i="1"/>
  <c r="BB31" i="1"/>
  <c r="BB12" i="1"/>
  <c r="BA12" i="1"/>
  <c r="BI12" i="1" s="1"/>
  <c r="BH12" i="1"/>
  <c r="BB8" i="1"/>
  <c r="BI8" i="1"/>
  <c r="BE8" i="1"/>
  <c r="BA8" i="1"/>
  <c r="BF8" i="1" s="1"/>
  <c r="BH8" i="1"/>
  <c r="D13" i="2"/>
  <c r="BH4" i="1"/>
  <c r="BB4" i="1"/>
  <c r="D15" i="2" s="1"/>
  <c r="BI4" i="1"/>
  <c r="BE4" i="1"/>
  <c r="BA4" i="1"/>
  <c r="D14" i="2" s="1"/>
  <c r="BE11" i="1"/>
  <c r="BB11" i="1"/>
  <c r="BA11" i="1"/>
  <c r="BF11" i="1" s="1"/>
  <c r="BB13" i="1"/>
  <c r="BA13" i="1"/>
  <c r="BH13" i="1" s="1"/>
  <c r="BB5" i="1"/>
  <c r="BI5" i="1"/>
  <c r="BA5" i="1"/>
  <c r="BE5" i="1" s="1"/>
  <c r="BH5" i="1"/>
  <c r="BJ22" i="1" l="1"/>
  <c r="BL22" i="1"/>
  <c r="BK22" i="1"/>
  <c r="BG22" i="1"/>
  <c r="BN22" i="1" s="1"/>
  <c r="BL6" i="1"/>
  <c r="BJ6" i="1"/>
  <c r="BK6" i="1"/>
  <c r="BG6" i="1"/>
  <c r="BN6" i="1" s="1"/>
  <c r="BL49" i="1"/>
  <c r="BK49" i="1"/>
  <c r="BG49" i="1"/>
  <c r="BN49" i="1" s="1"/>
  <c r="BJ49" i="1"/>
  <c r="BL50" i="1"/>
  <c r="BK50" i="1"/>
  <c r="BG50" i="1"/>
  <c r="BJ50" i="1"/>
  <c r="BN50" i="1"/>
  <c r="BJ18" i="1"/>
  <c r="BL18" i="1"/>
  <c r="BG18" i="1"/>
  <c r="BK18" i="1"/>
  <c r="BL38" i="1"/>
  <c r="BK38" i="1"/>
  <c r="BG38" i="1"/>
  <c r="BN38" i="1" s="1"/>
  <c r="BJ38" i="1"/>
  <c r="BK17" i="1"/>
  <c r="BG17" i="1"/>
  <c r="BJ17" i="1"/>
  <c r="BL17" i="1"/>
  <c r="BK33" i="1"/>
  <c r="BG33" i="1"/>
  <c r="BL33" i="1"/>
  <c r="BJ33" i="1"/>
  <c r="BN33" i="1" s="1"/>
  <c r="BK51" i="1"/>
  <c r="BG51" i="1"/>
  <c r="BJ51" i="1"/>
  <c r="BN51" i="1"/>
  <c r="BL51" i="1"/>
  <c r="BJ14" i="1"/>
  <c r="BL14" i="1"/>
  <c r="BK14" i="1"/>
  <c r="BG14" i="1"/>
  <c r="BJ5" i="1"/>
  <c r="BL5" i="1"/>
  <c r="BK5" i="1"/>
  <c r="BG5" i="1"/>
  <c r="BL28" i="1"/>
  <c r="BK28" i="1"/>
  <c r="BG28" i="1"/>
  <c r="BJ28" i="1"/>
  <c r="BN28" i="1"/>
  <c r="BL34" i="1"/>
  <c r="BJ34" i="1"/>
  <c r="BK34" i="1"/>
  <c r="BG34" i="1"/>
  <c r="BN34" i="1" s="1"/>
  <c r="BL7" i="1"/>
  <c r="BK7" i="1"/>
  <c r="BG7" i="1"/>
  <c r="BJ7" i="1"/>
  <c r="BN7" i="1" s="1"/>
  <c r="D19" i="2"/>
  <c r="BK4" i="1"/>
  <c r="F15" i="2" s="1"/>
  <c r="BG4" i="1"/>
  <c r="F14" i="2" s="1"/>
  <c r="BL4" i="1"/>
  <c r="F16" i="2" s="1"/>
  <c r="BJ4" i="1"/>
  <c r="BN4" i="1"/>
  <c r="F20" i="2" s="1"/>
  <c r="BL53" i="1"/>
  <c r="BK53" i="1"/>
  <c r="BG53" i="1"/>
  <c r="BN53" i="1" s="1"/>
  <c r="BJ53" i="1"/>
  <c r="BL37" i="1"/>
  <c r="BK37" i="1"/>
  <c r="BG37" i="1"/>
  <c r="BJ37" i="1"/>
  <c r="BN37" i="1" s="1"/>
  <c r="BF44" i="1"/>
  <c r="BF26" i="1"/>
  <c r="BJ36" i="1"/>
  <c r="BL36" i="1"/>
  <c r="BG36" i="1"/>
  <c r="BN36" i="1" s="1"/>
  <c r="BK36" i="1"/>
  <c r="BE13" i="1"/>
  <c r="BI11" i="1"/>
  <c r="BF12" i="1"/>
  <c r="BE9" i="1"/>
  <c r="BE44" i="1"/>
  <c r="BF27" i="1"/>
  <c r="BE27" i="1"/>
  <c r="BE52" i="1"/>
  <c r="BE35" i="1"/>
  <c r="BE10" i="1"/>
  <c r="BE26" i="1"/>
  <c r="BH38" i="1"/>
  <c r="BE30" i="1"/>
  <c r="BF16" i="1"/>
  <c r="BB16" i="1"/>
  <c r="BA16" i="1"/>
  <c r="BH16" i="1" s="1"/>
  <c r="BE16" i="1"/>
  <c r="BB29" i="1"/>
  <c r="BI29" i="1"/>
  <c r="BE29" i="1"/>
  <c r="BA29" i="1"/>
  <c r="BF29" i="1" s="1"/>
  <c r="BH29" i="1"/>
  <c r="BF33" i="1"/>
  <c r="BF41" i="1"/>
  <c r="BN41" i="1" s="1"/>
  <c r="BI41" i="1"/>
  <c r="BF13" i="1"/>
  <c r="BL41" i="1"/>
  <c r="BK41" i="1"/>
  <c r="BG41" i="1"/>
  <c r="BJ41" i="1"/>
  <c r="BF5" i="1"/>
  <c r="BN5" i="1" s="1"/>
  <c r="BI13" i="1"/>
  <c r="BH11" i="1"/>
  <c r="BE12" i="1"/>
  <c r="BF31" i="1"/>
  <c r="BE31" i="1"/>
  <c r="BF19" i="1"/>
  <c r="BE19" i="1"/>
  <c r="BE23" i="1"/>
  <c r="BK43" i="1"/>
  <c r="BG43" i="1"/>
  <c r="BJ43" i="1"/>
  <c r="BN43" i="1"/>
  <c r="BL43" i="1"/>
  <c r="BJ48" i="1"/>
  <c r="BL48" i="1"/>
  <c r="BK48" i="1"/>
  <c r="BG48" i="1"/>
  <c r="BN48" i="1" s="1"/>
  <c r="BI9" i="1"/>
  <c r="BI44" i="1"/>
  <c r="BI27" i="1"/>
  <c r="BI52" i="1"/>
  <c r="BF35" i="1"/>
  <c r="BI35" i="1"/>
  <c r="BF10" i="1"/>
  <c r="BI10" i="1"/>
  <c r="BF18" i="1"/>
  <c r="BN18" i="1" s="1"/>
  <c r="BI26" i="1"/>
  <c r="BH34" i="1"/>
  <c r="BH28" i="1"/>
  <c r="BI30" i="1"/>
  <c r="BF17" i="1"/>
  <c r="BN17" i="1" s="1"/>
  <c r="BL11" i="1"/>
  <c r="BK11" i="1"/>
  <c r="BG11" i="1"/>
  <c r="BN11" i="1" s="1"/>
  <c r="BJ11" i="1"/>
  <c r="BK8" i="1"/>
  <c r="BG8" i="1"/>
  <c r="BJ8" i="1"/>
  <c r="BN8" i="1" s="1"/>
  <c r="BL8" i="1"/>
  <c r="BB21" i="1"/>
  <c r="BE21" i="1" s="1"/>
  <c r="BA21" i="1"/>
  <c r="BI21" i="1" s="1"/>
  <c r="BH21" i="1"/>
  <c r="BB24" i="1"/>
  <c r="BA24" i="1"/>
  <c r="BH24" i="1" s="1"/>
  <c r="BF9" i="1"/>
  <c r="BF52" i="1"/>
  <c r="BL20" i="1"/>
  <c r="BK20" i="1"/>
  <c r="BG20" i="1"/>
  <c r="BJ20" i="1"/>
  <c r="BN20" i="1" s="1"/>
  <c r="BK25" i="1"/>
  <c r="BG25" i="1"/>
  <c r="BJ25" i="1"/>
  <c r="BN25" i="1" s="1"/>
  <c r="BL25" i="1"/>
  <c r="BL45" i="1"/>
  <c r="BK45" i="1"/>
  <c r="BG45" i="1"/>
  <c r="BN45" i="1" s="1"/>
  <c r="BJ45" i="1"/>
  <c r="BL46" i="1"/>
  <c r="BN46" i="1" s="1"/>
  <c r="BK46" i="1"/>
  <c r="BG46" i="1"/>
  <c r="BJ46" i="1"/>
  <c r="BF4" i="1"/>
  <c r="F13" i="2" s="1"/>
  <c r="BF23" i="1"/>
  <c r="BE42" i="1"/>
  <c r="BF14" i="1"/>
  <c r="BN14" i="1" s="1"/>
  <c r="BI15" i="1"/>
  <c r="BA15" i="1"/>
  <c r="BB15" i="1"/>
  <c r="BE15" i="1" s="1"/>
  <c r="BH15" i="1"/>
  <c r="BF15" i="1"/>
  <c r="BK47" i="1"/>
  <c r="BG47" i="1"/>
  <c r="BN47" i="1" s="1"/>
  <c r="BJ47" i="1"/>
  <c r="BL47" i="1"/>
  <c r="BK15" i="1" l="1"/>
  <c r="BG15" i="1"/>
  <c r="BN15" i="1" s="1"/>
  <c r="BJ15" i="1"/>
  <c r="BL15" i="1"/>
  <c r="BK21" i="1"/>
  <c r="BG21" i="1"/>
  <c r="BJ21" i="1"/>
  <c r="BL21" i="1"/>
  <c r="BL23" i="1"/>
  <c r="BK23" i="1"/>
  <c r="BG23" i="1"/>
  <c r="BN23" i="1" s="1"/>
  <c r="BJ23" i="1"/>
  <c r="BL16" i="1"/>
  <c r="BN16" i="1" s="1"/>
  <c r="BK16" i="1"/>
  <c r="BG16" i="1"/>
  <c r="BJ16" i="1"/>
  <c r="BL42" i="1"/>
  <c r="BK42" i="1"/>
  <c r="BG42" i="1"/>
  <c r="BN42" i="1" s="1"/>
  <c r="BJ42" i="1"/>
  <c r="BF21" i="1"/>
  <c r="BN21" i="1" s="1"/>
  <c r="BL19" i="1"/>
  <c r="BK19" i="1"/>
  <c r="BG19" i="1"/>
  <c r="BN19" i="1" s="1"/>
  <c r="BJ19" i="1"/>
  <c r="BK12" i="1"/>
  <c r="BG12" i="1"/>
  <c r="BJ12" i="1"/>
  <c r="BN12" i="1" s="1"/>
  <c r="BL12" i="1"/>
  <c r="BI16" i="1"/>
  <c r="BL10" i="1"/>
  <c r="BJ10" i="1"/>
  <c r="BK10" i="1"/>
  <c r="BG10" i="1"/>
  <c r="BN10" i="1" s="1"/>
  <c r="BK29" i="1"/>
  <c r="BG29" i="1"/>
  <c r="BN29" i="1" s="1"/>
  <c r="BJ29" i="1"/>
  <c r="BL29" i="1"/>
  <c r="BL27" i="1"/>
  <c r="BK27" i="1"/>
  <c r="BG27" i="1"/>
  <c r="BJ27" i="1"/>
  <c r="BN27" i="1" s="1"/>
  <c r="BE24" i="1"/>
  <c r="BF24" i="1"/>
  <c r="BJ30" i="1"/>
  <c r="BK30" i="1"/>
  <c r="BN30" i="1" s="1"/>
  <c r="BL30" i="1"/>
  <c r="BG30" i="1"/>
  <c r="BK35" i="1"/>
  <c r="BG35" i="1"/>
  <c r="BL35" i="1"/>
  <c r="BJ35" i="1"/>
  <c r="BN35" i="1" s="1"/>
  <c r="BJ44" i="1"/>
  <c r="BL44" i="1"/>
  <c r="BG44" i="1"/>
  <c r="BN44" i="1" s="1"/>
  <c r="BK44" i="1"/>
  <c r="BJ13" i="1"/>
  <c r="BL13" i="1"/>
  <c r="BK13" i="1"/>
  <c r="BG13" i="1"/>
  <c r="BN13" i="1" s="1"/>
  <c r="BJ26" i="1"/>
  <c r="BN26" i="1"/>
  <c r="BL26" i="1"/>
  <c r="BG26" i="1"/>
  <c r="BK26" i="1"/>
  <c r="F19" i="2"/>
  <c r="BI24" i="1"/>
  <c r="BL31" i="1"/>
  <c r="BG31" i="1"/>
  <c r="BN31" i="1" s="1"/>
  <c r="BK31" i="1"/>
  <c r="BJ31" i="1"/>
  <c r="BJ52" i="1"/>
  <c r="BN52" i="1"/>
  <c r="BL52" i="1"/>
  <c r="BG52" i="1"/>
  <c r="BK52" i="1"/>
  <c r="BJ9" i="1"/>
  <c r="BK9" i="1"/>
  <c r="BG9" i="1"/>
  <c r="BN9" i="1" s="1"/>
  <c r="BL9" i="1"/>
  <c r="BL24" i="1" l="1"/>
  <c r="BK24" i="1"/>
  <c r="BG24" i="1"/>
  <c r="BN24" i="1" s="1"/>
  <c r="BJ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A3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======
ID#AAABtMTESdU
Krishan    (2025-10-27 06:44:33)
Dearness Allowance</t>
        </r>
      </text>
    </comment>
    <comment ref="BB3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======
ID#AAABtMTESdQ
Krishan    (2025-10-27 06:44:33)
House Rent Allowance
40% to 52.5%</t>
        </r>
      </text>
    </comment>
    <comment ref="BC3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ID#AAABtMTESdY
Krishan    (2025-10-27 06:44:33)
Travel Allowance</t>
        </r>
      </text>
    </comment>
    <comment ref="BF3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======
ID#AAABtMTESdM
Krishan    (2025-10-27 06:44:33)
Employee Provident Fund
12% calculate
Basic+DA</t>
        </r>
      </text>
    </comment>
    <comment ref="BG3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======
ID#AAABtMTESdc
Krishan    (2025-10-27 06:44:33)
Employee State Insurance
4% Gross Salary
0.75% Employee
3.25% Employer
If greater than 21000 no esi benefits will be provided</t>
        </r>
      </text>
    </comment>
    <comment ref="BI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ID#AAABtMTESdk
Krishan    (2025-10-27 06:44:33)
Employee Pension Scheme</t>
        </r>
      </text>
    </comment>
    <comment ref="BK3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ID#AAABtMTESdg
Krishan    (2025-10-27 06:44:33)
Professional Tax
it is calculated on gross salary</t>
        </r>
      </text>
    </comment>
    <comment ref="BL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ID#AAABtMTESdo
Krishan    (2025-10-27 06:44:33)
Tax Deductions at Source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PbcR8NtQj6gbL2AwsZwztny0hA=="/>
    </ext>
  </extLst>
</comments>
</file>

<file path=xl/sharedStrings.xml><?xml version="1.0" encoding="utf-8"?>
<sst xmlns="http://schemas.openxmlformats.org/spreadsheetml/2006/main" count="2244" uniqueCount="630">
  <si>
    <t>MON</t>
  </si>
  <si>
    <t>TUE</t>
  </si>
  <si>
    <t>WED</t>
  </si>
  <si>
    <t>THU</t>
  </si>
  <si>
    <t>FRI</t>
  </si>
  <si>
    <t>SAT</t>
  </si>
  <si>
    <t>SUN</t>
  </si>
  <si>
    <t>EMP ID</t>
  </si>
  <si>
    <t>NAME</t>
  </si>
  <si>
    <t>DESGINATION</t>
  </si>
  <si>
    <t>DEPARTMENT</t>
  </si>
  <si>
    <t>DATE JOINING</t>
  </si>
  <si>
    <t>MOBILE NO</t>
  </si>
  <si>
    <t>EMAIL ID</t>
  </si>
  <si>
    <t>ADHAR NO</t>
  </si>
  <si>
    <t>PAN NO</t>
  </si>
  <si>
    <t>IFSC CODE</t>
  </si>
  <si>
    <t>ACCOUNT NO</t>
  </si>
  <si>
    <t>EPF NO</t>
  </si>
  <si>
    <t>ESI NO</t>
  </si>
  <si>
    <t>PRESENT</t>
  </si>
  <si>
    <t>ABSENT</t>
  </si>
  <si>
    <t>HALFDAY</t>
  </si>
  <si>
    <t>LEAVE</t>
  </si>
  <si>
    <t>WEEKOFF</t>
  </si>
  <si>
    <t>HOLIDAY</t>
  </si>
  <si>
    <t>PAYABLE DAYS</t>
  </si>
  <si>
    <t>Basic Salary</t>
  </si>
  <si>
    <t>Actual Basic</t>
  </si>
  <si>
    <t>DA</t>
  </si>
  <si>
    <t>HRA</t>
  </si>
  <si>
    <t>TA</t>
  </si>
  <si>
    <t>Inentive</t>
  </si>
  <si>
    <t>Gross Salary</t>
  </si>
  <si>
    <t>EPF 12%</t>
  </si>
  <si>
    <t>ESI 0.75%</t>
  </si>
  <si>
    <t>EPF 3.67%</t>
  </si>
  <si>
    <t>EPS 8.33%</t>
  </si>
  <si>
    <t>ESI 3.25%</t>
  </si>
  <si>
    <t>PT</t>
  </si>
  <si>
    <t>TDS</t>
  </si>
  <si>
    <t>Advance</t>
  </si>
  <si>
    <t>Net Salary</t>
  </si>
  <si>
    <t>EMP001</t>
  </si>
  <si>
    <t>Aarav Sharma</t>
  </si>
  <si>
    <t>Engineer</t>
  </si>
  <si>
    <t>Marketing</t>
  </si>
  <si>
    <t>12-04-2023</t>
  </si>
  <si>
    <t>9723171730</t>
  </si>
  <si>
    <t>aarav.sharma@example.com</t>
  </si>
  <si>
    <t>408522180226</t>
  </si>
  <si>
    <t>TASTI8900S</t>
  </si>
  <si>
    <t>PUNB0387646</t>
  </si>
  <si>
    <t>517558434033</t>
  </si>
  <si>
    <t>MH/3183306</t>
  </si>
  <si>
    <t>43790951306060913</t>
  </si>
  <si>
    <t>P</t>
  </si>
  <si>
    <t>WO</t>
  </si>
  <si>
    <t>A</t>
  </si>
  <si>
    <t>EMP002</t>
  </si>
  <si>
    <t>Vihaan Patel</t>
  </si>
  <si>
    <t>Analyst</t>
  </si>
  <si>
    <t>04-06-2019</t>
  </si>
  <si>
    <t>9709598138</t>
  </si>
  <si>
    <t>vihaan.patel@example.com</t>
  </si>
  <si>
    <t>416148021695</t>
  </si>
  <si>
    <t>WCZWQ2953U</t>
  </si>
  <si>
    <t>HDFC0727281</t>
  </si>
  <si>
    <t>369486504494</t>
  </si>
  <si>
    <t>MH/1499603</t>
  </si>
  <si>
    <t>75312326499889147</t>
  </si>
  <si>
    <t>H</t>
  </si>
  <si>
    <t>EMP003</t>
  </si>
  <si>
    <t>Aditya Rao</t>
  </si>
  <si>
    <t>Executive</t>
  </si>
  <si>
    <t>Operations</t>
  </si>
  <si>
    <t>02-09-2025</t>
  </si>
  <si>
    <t>9781754517</t>
  </si>
  <si>
    <t>aditya.rao@example.com</t>
  </si>
  <si>
    <t>268814622037</t>
  </si>
  <si>
    <t>MQJQW7509F</t>
  </si>
  <si>
    <t>KKBK0278540</t>
  </si>
  <si>
    <t>441481637956</t>
  </si>
  <si>
    <t>MH/6747422</t>
  </si>
  <si>
    <t>49962259181266537</t>
  </si>
  <si>
    <t>L</t>
  </si>
  <si>
    <t>EMP004</t>
  </si>
  <si>
    <t>Arjun Mehta</t>
  </si>
  <si>
    <t>Supervisor</t>
  </si>
  <si>
    <t>Finance</t>
  </si>
  <si>
    <t>12-12-2018</t>
  </si>
  <si>
    <t>9326772684</t>
  </si>
  <si>
    <t>arjun.mehta@example.com</t>
  </si>
  <si>
    <t>695967863048</t>
  </si>
  <si>
    <t>OUXKV3740M</t>
  </si>
  <si>
    <t>PUNB0047760</t>
  </si>
  <si>
    <t>173444133355</t>
  </si>
  <si>
    <t>MH/2879322</t>
  </si>
  <si>
    <t>81497436059586419</t>
  </si>
  <si>
    <t>EMP005</t>
  </si>
  <si>
    <t>Vivaan Reddy</t>
  </si>
  <si>
    <t>Assistant</t>
  </si>
  <si>
    <t>02-09-2022</t>
  </si>
  <si>
    <t>9651703086</t>
  </si>
  <si>
    <t>vivaan.reddy@example.com</t>
  </si>
  <si>
    <t>137770197102</t>
  </si>
  <si>
    <t>OWCHB1828R</t>
  </si>
  <si>
    <t>KKBK0204723</t>
  </si>
  <si>
    <t>701133421304</t>
  </si>
  <si>
    <t>MH/7166735</t>
  </si>
  <si>
    <t>14648212952090225</t>
  </si>
  <si>
    <t>EMP006</t>
  </si>
  <si>
    <t>Sai Kumar</t>
  </si>
  <si>
    <t>17-04-2021</t>
  </si>
  <si>
    <t>9497721474</t>
  </si>
  <si>
    <t>sai.kumar@example.com</t>
  </si>
  <si>
    <t>390379265872</t>
  </si>
  <si>
    <t>YORFR8185H</t>
  </si>
  <si>
    <t>SBIN0078732</t>
  </si>
  <si>
    <t>815558307439</t>
  </si>
  <si>
    <t>MH/1707081</t>
  </si>
  <si>
    <t>35915249757810686</t>
  </si>
  <si>
    <t>EMP007</t>
  </si>
  <si>
    <t>Karthik Iyer</t>
  </si>
  <si>
    <t>21-09-2024</t>
  </si>
  <si>
    <t>9764902682</t>
  </si>
  <si>
    <t>karthik.iyer@example.com</t>
  </si>
  <si>
    <t>227853632233</t>
  </si>
  <si>
    <t>JQZZC7995E</t>
  </si>
  <si>
    <t>KKBK0610226</t>
  </si>
  <si>
    <t>847423651159</t>
  </si>
  <si>
    <t>MH/0583728</t>
  </si>
  <si>
    <t>86443002205391316</t>
  </si>
  <si>
    <t>HO</t>
  </si>
  <si>
    <t>EMP008</t>
  </si>
  <si>
    <t>Rohan Nair</t>
  </si>
  <si>
    <t>22-03-2021</t>
  </si>
  <si>
    <t>9751438899</t>
  </si>
  <si>
    <t>rohan.nair@example.com</t>
  </si>
  <si>
    <t>272711675608</t>
  </si>
  <si>
    <t>IGBUP2955P</t>
  </si>
  <si>
    <t>HDFC0124667</t>
  </si>
  <si>
    <t>736405256594</t>
  </si>
  <si>
    <t>MH/3848334</t>
  </si>
  <si>
    <t>24855338425442785</t>
  </si>
  <si>
    <t>EMP009</t>
  </si>
  <si>
    <t>Krishna Das</t>
  </si>
  <si>
    <t>30-08-2021</t>
  </si>
  <si>
    <t>9010451756</t>
  </si>
  <si>
    <t>krishna.das@example.com</t>
  </si>
  <si>
    <t>210188000274</t>
  </si>
  <si>
    <t>TJNVS8878M</t>
  </si>
  <si>
    <t>PUNB0581791</t>
  </si>
  <si>
    <t>338531694105</t>
  </si>
  <si>
    <t>MH/3408089</t>
  </si>
  <si>
    <t>21363270435774555</t>
  </si>
  <si>
    <t>EMP010</t>
  </si>
  <si>
    <t>Aniket Joshi</t>
  </si>
  <si>
    <t>Sales</t>
  </si>
  <si>
    <t>28-08-2018</t>
  </si>
  <si>
    <t>9712376781</t>
  </si>
  <si>
    <t>aniket.joshi@example.com</t>
  </si>
  <si>
    <t>021979116563</t>
  </si>
  <si>
    <t>LCXBJ3655W</t>
  </si>
  <si>
    <t>KKBK0429888</t>
  </si>
  <si>
    <t>732633217326</t>
  </si>
  <si>
    <t>MH/6420106</t>
  </si>
  <si>
    <t>03019369349975773</t>
  </si>
  <si>
    <t>EMP011</t>
  </si>
  <si>
    <t>Neha Singh</t>
  </si>
  <si>
    <t>07-08-2019</t>
  </si>
  <si>
    <t>9918390210</t>
  </si>
  <si>
    <t>neha.singh@example.com</t>
  </si>
  <si>
    <t>967456937554</t>
  </si>
  <si>
    <t>FZSJV7868A</t>
  </si>
  <si>
    <t>KKBK0630583</t>
  </si>
  <si>
    <t>514801721962</t>
  </si>
  <si>
    <t>MH/4360317</t>
  </si>
  <si>
    <t>54526218679722972</t>
  </si>
  <si>
    <t>EMP012</t>
  </si>
  <si>
    <t>Priya Sharma</t>
  </si>
  <si>
    <t>18-04-2021</t>
  </si>
  <si>
    <t>9574249891</t>
  </si>
  <si>
    <t>priya.sharma@example.com</t>
  </si>
  <si>
    <t>246800101376</t>
  </si>
  <si>
    <t>NPUHS4261I</t>
  </si>
  <si>
    <t>SBIN0088914</t>
  </si>
  <si>
    <t>345239272146</t>
  </si>
  <si>
    <t>MH/7907963</t>
  </si>
  <si>
    <t>74750012127326244</t>
  </si>
  <si>
    <t>EMP013</t>
  </si>
  <si>
    <t>Aishwarya Nair</t>
  </si>
  <si>
    <t>20-08-2018</t>
  </si>
  <si>
    <t>9023729612</t>
  </si>
  <si>
    <t>aishwarya.nair@example.com</t>
  </si>
  <si>
    <t>922017873506</t>
  </si>
  <si>
    <t>UBABI7959O</t>
  </si>
  <si>
    <t>HDFC0222682</t>
  </si>
  <si>
    <t>488768256493</t>
  </si>
  <si>
    <t>MH/3227539</t>
  </si>
  <si>
    <t>36832696636976333</t>
  </si>
  <si>
    <t>EMP014</t>
  </si>
  <si>
    <t>Kavya Patel</t>
  </si>
  <si>
    <t>09-11-2024</t>
  </si>
  <si>
    <t>9373006018</t>
  </si>
  <si>
    <t>kavya.patel@example.com</t>
  </si>
  <si>
    <t>319481244902</t>
  </si>
  <si>
    <t>JKGUQ7867L</t>
  </si>
  <si>
    <t>PUNB0938542</t>
  </si>
  <si>
    <t>380957348298</t>
  </si>
  <si>
    <t>MH/9320946</t>
  </si>
  <si>
    <t>71993994259410326</t>
  </si>
  <si>
    <t>EMP015</t>
  </si>
  <si>
    <t>Ritika Mehta</t>
  </si>
  <si>
    <t>23-05-2025</t>
  </si>
  <si>
    <t>9528632240</t>
  </si>
  <si>
    <t>ritika.mehta@example.com</t>
  </si>
  <si>
    <t>399713173061</t>
  </si>
  <si>
    <t>GJJRA7087Q</t>
  </si>
  <si>
    <t>PUNB0305062</t>
  </si>
  <si>
    <t>320358787458</t>
  </si>
  <si>
    <t>MH/3797219</t>
  </si>
  <si>
    <t>75232052948609122</t>
  </si>
  <si>
    <t>EMP016</t>
  </si>
  <si>
    <t>Sneha Reddy</t>
  </si>
  <si>
    <t>Manager</t>
  </si>
  <si>
    <t>HR</t>
  </si>
  <si>
    <t>22-06-2025</t>
  </si>
  <si>
    <t>9736654312</t>
  </si>
  <si>
    <t>sneha.reddy@example.com</t>
  </si>
  <si>
    <t>634340609076</t>
  </si>
  <si>
    <t>CCAMZ4247V</t>
  </si>
  <si>
    <t>HDFC0077820</t>
  </si>
  <si>
    <t>309454467751</t>
  </si>
  <si>
    <t>MH/1530867</t>
  </si>
  <si>
    <t>96442382797048268</t>
  </si>
  <si>
    <t>EMP017</t>
  </si>
  <si>
    <t>Ananya Rao</t>
  </si>
  <si>
    <t>Clerk</t>
  </si>
  <si>
    <t>14-12-2015</t>
  </si>
  <si>
    <t>9621909243</t>
  </si>
  <si>
    <t>ananya.rao@example.com</t>
  </si>
  <si>
    <t>005461771963</t>
  </si>
  <si>
    <t>LDJGE4863S</t>
  </si>
  <si>
    <t>HDFC0243564</t>
  </si>
  <si>
    <t>092286025677</t>
  </si>
  <si>
    <t>MH/0432806</t>
  </si>
  <si>
    <t>43240485616216296</t>
  </si>
  <si>
    <t>EMP018</t>
  </si>
  <si>
    <t>Isha Sharma</t>
  </si>
  <si>
    <t>21-03-2021</t>
  </si>
  <si>
    <t>9736733181</t>
  </si>
  <si>
    <t>isha.sharma@example.com</t>
  </si>
  <si>
    <t>061428831220</t>
  </si>
  <si>
    <t>HIEQV4892U</t>
  </si>
  <si>
    <t>SBIN0251447</t>
  </si>
  <si>
    <t>652597516413</t>
  </si>
  <si>
    <t>MH/1441368</t>
  </si>
  <si>
    <t>82733956716440301</t>
  </si>
  <si>
    <t>EMP019</t>
  </si>
  <si>
    <t>Pooja Verma</t>
  </si>
  <si>
    <t>IT</t>
  </si>
  <si>
    <t>30-10-2025</t>
  </si>
  <si>
    <t>9119354115</t>
  </si>
  <si>
    <t>pooja.verma@example.com</t>
  </si>
  <si>
    <t>526651032123</t>
  </si>
  <si>
    <t>KTXVD5523G</t>
  </si>
  <si>
    <t>KKBK0086511</t>
  </si>
  <si>
    <t>981781779909</t>
  </si>
  <si>
    <t>MH/8308215</t>
  </si>
  <si>
    <t>81989221304075954</t>
  </si>
  <si>
    <t>EMP020</t>
  </si>
  <si>
    <t>Divya Jain</t>
  </si>
  <si>
    <t>21-10-2017</t>
  </si>
  <si>
    <t>9548222041</t>
  </si>
  <si>
    <t>divya.jain@example.com</t>
  </si>
  <si>
    <t>043139652111</t>
  </si>
  <si>
    <t>RNBAE1580I</t>
  </si>
  <si>
    <t>SBIN0372978</t>
  </si>
  <si>
    <t>414826792335</t>
  </si>
  <si>
    <t>MH/8699454</t>
  </si>
  <si>
    <t>49374016007608295</t>
  </si>
  <si>
    <t>EMP021</t>
  </si>
  <si>
    <t>Rahul Gupta</t>
  </si>
  <si>
    <t>Admin</t>
  </si>
  <si>
    <t>17-10-2019</t>
  </si>
  <si>
    <t>9476954617</t>
  </si>
  <si>
    <t>rahul.gupta@example.com</t>
  </si>
  <si>
    <t>659165326701</t>
  </si>
  <si>
    <t>AIAWC1891P</t>
  </si>
  <si>
    <t>ICIC0609466</t>
  </si>
  <si>
    <t>897794728298</t>
  </si>
  <si>
    <t>MH/5514239</t>
  </si>
  <si>
    <t>69044081423557105</t>
  </si>
  <si>
    <t>EMP022</t>
  </si>
  <si>
    <t>Siddharth Singh</t>
  </si>
  <si>
    <t>25-07-2025</t>
  </si>
  <si>
    <t>9365448879</t>
  </si>
  <si>
    <t>siddharth.singh@example.com</t>
  </si>
  <si>
    <t>477299023282</t>
  </si>
  <si>
    <t>YQQKD9376D</t>
  </si>
  <si>
    <t>ICIC0289457</t>
  </si>
  <si>
    <t>952103059192</t>
  </si>
  <si>
    <t>MH/4621159</t>
  </si>
  <si>
    <t>99163023888832406</t>
  </si>
  <si>
    <t>EMP023</t>
  </si>
  <si>
    <t>Manish Kumar</t>
  </si>
  <si>
    <t>28-05-2019</t>
  </si>
  <si>
    <t>9234789800</t>
  </si>
  <si>
    <t>manish.kumar@example.com</t>
  </si>
  <si>
    <t>146633115257</t>
  </si>
  <si>
    <t>UBIGI4978Z</t>
  </si>
  <si>
    <t>HDFC0421869</t>
  </si>
  <si>
    <t>202269171735</t>
  </si>
  <si>
    <t>MH/2177264</t>
  </si>
  <si>
    <t>26150763695205817</t>
  </si>
  <si>
    <t>EMP024</t>
  </si>
  <si>
    <t>Vikas Yadav</t>
  </si>
  <si>
    <t>19-05-2018</t>
  </si>
  <si>
    <t>9560075698</t>
  </si>
  <si>
    <t>vikas.yadav@example.com</t>
  </si>
  <si>
    <t>302920069189</t>
  </si>
  <si>
    <t>MHCON7536D</t>
  </si>
  <si>
    <t>HDFC0773316</t>
  </si>
  <si>
    <t>084884613641</t>
  </si>
  <si>
    <t>MH/7837142</t>
  </si>
  <si>
    <t>87809633588061028</t>
  </si>
  <si>
    <t>EMP025</t>
  </si>
  <si>
    <t>Deepak Patel</t>
  </si>
  <si>
    <t>13-02-2019</t>
  </si>
  <si>
    <t>9495787931</t>
  </si>
  <si>
    <t>deepak.patel@example.com</t>
  </si>
  <si>
    <t>585772711775</t>
  </si>
  <si>
    <t>TLVRR7322L</t>
  </si>
  <si>
    <t>PUNB0535895</t>
  </si>
  <si>
    <t>447323931682</t>
  </si>
  <si>
    <t>MH/1860133</t>
  </si>
  <si>
    <t>27708188862844661</t>
  </si>
  <si>
    <t>EMP026</t>
  </si>
  <si>
    <t>Akash Mehra</t>
  </si>
  <si>
    <t>11-11-2017</t>
  </si>
  <si>
    <t>9123905663</t>
  </si>
  <si>
    <t>akash.mehra@example.com</t>
  </si>
  <si>
    <t>548286068106</t>
  </si>
  <si>
    <t>SWTBM5996C</t>
  </si>
  <si>
    <t>HDFC0388352</t>
  </si>
  <si>
    <t>727772246219</t>
  </si>
  <si>
    <t>MH/4052343</t>
  </si>
  <si>
    <t>36311721858369280</t>
  </si>
  <si>
    <t>EMP027</t>
  </si>
  <si>
    <t>Nitin Agarwal</t>
  </si>
  <si>
    <t>05-10-2015</t>
  </si>
  <si>
    <t>9030196539</t>
  </si>
  <si>
    <t>nitin.agarwal@example.com</t>
  </si>
  <si>
    <t>054804532725</t>
  </si>
  <si>
    <t>ELZMQ5201Q</t>
  </si>
  <si>
    <t>HDFC0933725</t>
  </si>
  <si>
    <t>504106437267</t>
  </si>
  <si>
    <t>MH/2506207</t>
  </si>
  <si>
    <t>00124270656385648</t>
  </si>
  <si>
    <t>EMP028</t>
  </si>
  <si>
    <t>Harsh Malhotra</t>
  </si>
  <si>
    <t>28-01-2022</t>
  </si>
  <si>
    <t>9861103171</t>
  </si>
  <si>
    <t>harsh.malhotra@example.com</t>
  </si>
  <si>
    <t>518955777626</t>
  </si>
  <si>
    <t>XWJGI6757D</t>
  </si>
  <si>
    <t>PUNB0120132</t>
  </si>
  <si>
    <t>593390051724</t>
  </si>
  <si>
    <t>MH/8652780</t>
  </si>
  <si>
    <t>01757724225148774</t>
  </si>
  <si>
    <t>EMP029</t>
  </si>
  <si>
    <t>Ravi Menon</t>
  </si>
  <si>
    <t>24-03-2023</t>
  </si>
  <si>
    <t>9681349444</t>
  </si>
  <si>
    <t>ravi.menon@example.com</t>
  </si>
  <si>
    <t>945428229505</t>
  </si>
  <si>
    <t>BQDNC8009Y</t>
  </si>
  <si>
    <t>SBIN0121080</t>
  </si>
  <si>
    <t>459517276275</t>
  </si>
  <si>
    <t>MH/7649764</t>
  </si>
  <si>
    <t>76485264235928409</t>
  </si>
  <si>
    <t>EMP030</t>
  </si>
  <si>
    <t>Amit Bansal</t>
  </si>
  <si>
    <t>02-01-2020</t>
  </si>
  <si>
    <t>9436232061</t>
  </si>
  <si>
    <t>amit.bansal@example.com</t>
  </si>
  <si>
    <t>200064094941</t>
  </si>
  <si>
    <t>DBIWD3826K</t>
  </si>
  <si>
    <t>PUNB0541689</t>
  </si>
  <si>
    <t>170297483915</t>
  </si>
  <si>
    <t>MH/4811621</t>
  </si>
  <si>
    <t>85582466046553549</t>
  </si>
  <si>
    <t>EMP031</t>
  </si>
  <si>
    <t>Suresh Iyer</t>
  </si>
  <si>
    <t>14-04-2018</t>
  </si>
  <si>
    <t>9738982357</t>
  </si>
  <si>
    <t>suresh.iyer@example.com</t>
  </si>
  <si>
    <t>042108662806</t>
  </si>
  <si>
    <t>FAWFS7563Z</t>
  </si>
  <si>
    <t>ICIC0114988</t>
  </si>
  <si>
    <t>065846425232</t>
  </si>
  <si>
    <t>MH/6264676</t>
  </si>
  <si>
    <t>42203648760561978</t>
  </si>
  <si>
    <t>EMP032</t>
  </si>
  <si>
    <t>Rajesh Reddy</t>
  </si>
  <si>
    <t>04-07-2023</t>
  </si>
  <si>
    <t>9799206097</t>
  </si>
  <si>
    <t>rajesh.reddy@example.com</t>
  </si>
  <si>
    <t>989521749163</t>
  </si>
  <si>
    <t>THQGR2632N</t>
  </si>
  <si>
    <t>HDFC0715796</t>
  </si>
  <si>
    <t>516437934079</t>
  </si>
  <si>
    <t>MH/3938127</t>
  </si>
  <si>
    <t>76530270745003163</t>
  </si>
  <si>
    <t>EMP033</t>
  </si>
  <si>
    <t>Praveen Das</t>
  </si>
  <si>
    <t>09-06-2018</t>
  </si>
  <si>
    <t>9089683762</t>
  </si>
  <si>
    <t>praveen.das@example.com</t>
  </si>
  <si>
    <t>916537683451</t>
  </si>
  <si>
    <t>CSFCA2170X</t>
  </si>
  <si>
    <t>PUNB0078398</t>
  </si>
  <si>
    <t>536209084939</t>
  </si>
  <si>
    <t>MH/5242728</t>
  </si>
  <si>
    <t>64499375434125945</t>
  </si>
  <si>
    <t>EMP034</t>
  </si>
  <si>
    <t>Gaurav Sharma</t>
  </si>
  <si>
    <t>18-04-2024</t>
  </si>
  <si>
    <t>9511527905</t>
  </si>
  <si>
    <t>gaurav.sharma@example.com</t>
  </si>
  <si>
    <t>933204052352</t>
  </si>
  <si>
    <t>FKUHY5100Z</t>
  </si>
  <si>
    <t>PUNB0845568</t>
  </si>
  <si>
    <t>258861580821</t>
  </si>
  <si>
    <t>MH/5951629</t>
  </si>
  <si>
    <t>33229599408536076</t>
  </si>
  <si>
    <t>EMP035</t>
  </si>
  <si>
    <t>Lokesh Jain</t>
  </si>
  <si>
    <t>20-01-2015</t>
  </si>
  <si>
    <t>9289897296</t>
  </si>
  <si>
    <t>lokesh.jain@example.com</t>
  </si>
  <si>
    <t>783878808193</t>
  </si>
  <si>
    <t>DUXXG5278M</t>
  </si>
  <si>
    <t>SBIN0033516</t>
  </si>
  <si>
    <t>511857366591</t>
  </si>
  <si>
    <t>MH/1875218</t>
  </si>
  <si>
    <t>98164964401217531</t>
  </si>
  <si>
    <t>EMP036</t>
  </si>
  <si>
    <t>Kiran Nair</t>
  </si>
  <si>
    <t>17-05-2024</t>
  </si>
  <si>
    <t>9502301608</t>
  </si>
  <si>
    <t>kiran.nair@example.com</t>
  </si>
  <si>
    <t>268488738870</t>
  </si>
  <si>
    <t>FFIVG7744V</t>
  </si>
  <si>
    <t>HDFC0898784</t>
  </si>
  <si>
    <t>749613703644</t>
  </si>
  <si>
    <t>MH/5833369</t>
  </si>
  <si>
    <t>15010322640301459</t>
  </si>
  <si>
    <t>EMP037</t>
  </si>
  <si>
    <t>Tanvi Joshi</t>
  </si>
  <si>
    <t>19-05-2020</t>
  </si>
  <si>
    <t>9353250479</t>
  </si>
  <si>
    <t>tanvi.joshi@example.com</t>
  </si>
  <si>
    <t>026987119781</t>
  </si>
  <si>
    <t>WCUND8631Y</t>
  </si>
  <si>
    <t>SBIN0625030</t>
  </si>
  <si>
    <t>847214000766</t>
  </si>
  <si>
    <t>MH/9565511</t>
  </si>
  <si>
    <t>86057062684384353</t>
  </si>
  <si>
    <t>EMP038</t>
  </si>
  <si>
    <t>Rashmi Patel</t>
  </si>
  <si>
    <t>02-12-2025</t>
  </si>
  <si>
    <t>9769833686</t>
  </si>
  <si>
    <t>rashmi.patel@example.com</t>
  </si>
  <si>
    <t>408708203890</t>
  </si>
  <si>
    <t>ZNXWV2058R</t>
  </si>
  <si>
    <t>PUNB0184892</t>
  </si>
  <si>
    <t>932604002062</t>
  </si>
  <si>
    <t>MH/4673239</t>
  </si>
  <si>
    <t>50945282084164564</t>
  </si>
  <si>
    <t>EMP039</t>
  </si>
  <si>
    <t>Snehal Mehta</t>
  </si>
  <si>
    <t>27-11-2016</t>
  </si>
  <si>
    <t>9143828734</t>
  </si>
  <si>
    <t>snehal.mehta@example.com</t>
  </si>
  <si>
    <t>248105919623</t>
  </si>
  <si>
    <t>UULNZ1955D</t>
  </si>
  <si>
    <t>SBIN0796696</t>
  </si>
  <si>
    <t>343190863456</t>
  </si>
  <si>
    <t>MH/6877687</t>
  </si>
  <si>
    <t>61898016024814194</t>
  </si>
  <si>
    <t>EMP040</t>
  </si>
  <si>
    <t>Pallavi Rao</t>
  </si>
  <si>
    <t>9125724396</t>
  </si>
  <si>
    <t>pallavi.rao@example.com</t>
  </si>
  <si>
    <t>660070909647</t>
  </si>
  <si>
    <t>OHRZR3030U</t>
  </si>
  <si>
    <t>PUNB0505906</t>
  </si>
  <si>
    <t>206586070014</t>
  </si>
  <si>
    <t>MH/4502764</t>
  </si>
  <si>
    <t>83326864805996185</t>
  </si>
  <si>
    <t>EMP041</t>
  </si>
  <si>
    <t>Nisha Reddy</t>
  </si>
  <si>
    <t>08-09-2019</t>
  </si>
  <si>
    <t>9145172669</t>
  </si>
  <si>
    <t>nisha.reddy@example.com</t>
  </si>
  <si>
    <t>804427635400</t>
  </si>
  <si>
    <t>DUYXO3404J</t>
  </si>
  <si>
    <t>KKBK0360539</t>
  </si>
  <si>
    <t>234588869562</t>
  </si>
  <si>
    <t>MH/2200086</t>
  </si>
  <si>
    <t>83825549988768246</t>
  </si>
  <si>
    <t>EMP042</t>
  </si>
  <si>
    <t>Swati Singh</t>
  </si>
  <si>
    <t>02-04-2025</t>
  </si>
  <si>
    <t>9178536652</t>
  </si>
  <si>
    <t>swati.singh@example.com</t>
  </si>
  <si>
    <t>412652206128</t>
  </si>
  <si>
    <t>AJTQE1781T</t>
  </si>
  <si>
    <t>HDFC0473012</t>
  </si>
  <si>
    <t>918186991235</t>
  </si>
  <si>
    <t>MH/9892377</t>
  </si>
  <si>
    <t>16028644610555091</t>
  </si>
  <si>
    <t>EMP043</t>
  </si>
  <si>
    <t>Aditi Verma</t>
  </si>
  <si>
    <t>01-07-2025</t>
  </si>
  <si>
    <t>9844250062</t>
  </si>
  <si>
    <t>aditi.verma@example.com</t>
  </si>
  <si>
    <t>558943099199</t>
  </si>
  <si>
    <t>ZIUAG3972R</t>
  </si>
  <si>
    <t>PUNB0509889</t>
  </si>
  <si>
    <t>860874355219</t>
  </si>
  <si>
    <t>MH/5153303</t>
  </si>
  <si>
    <t>03091803050166736</t>
  </si>
  <si>
    <t>EMP044</t>
  </si>
  <si>
    <t>Ishita Nair</t>
  </si>
  <si>
    <t>10-04-2022</t>
  </si>
  <si>
    <t>9059552597</t>
  </si>
  <si>
    <t>ishita.nair@example.com</t>
  </si>
  <si>
    <t>424017427593</t>
  </si>
  <si>
    <t>ZKWVF1487M</t>
  </si>
  <si>
    <t>HDFC0528255</t>
  </si>
  <si>
    <t>202858453795</t>
  </si>
  <si>
    <t>MH/7346728</t>
  </si>
  <si>
    <t>00655668315466437</t>
  </si>
  <si>
    <t>EMP045</t>
  </si>
  <si>
    <t>Anjali Sharma</t>
  </si>
  <si>
    <t>12-02-2021</t>
  </si>
  <si>
    <t>9325355261</t>
  </si>
  <si>
    <t>anjali.sharma@example.com</t>
  </si>
  <si>
    <t>757729016748</t>
  </si>
  <si>
    <t>WQIZN8329Z</t>
  </si>
  <si>
    <t>HDFC0196487</t>
  </si>
  <si>
    <t>445686685355</t>
  </si>
  <si>
    <t>MH/6878234</t>
  </si>
  <si>
    <t>41246961464696526</t>
  </si>
  <si>
    <t>EMP046</t>
  </si>
  <si>
    <t>Meena Das</t>
  </si>
  <si>
    <t>06-02-2015</t>
  </si>
  <si>
    <t>9530297679</t>
  </si>
  <si>
    <t>meena.das@example.com</t>
  </si>
  <si>
    <t>093343116442</t>
  </si>
  <si>
    <t>OPDZF9057E</t>
  </si>
  <si>
    <t>SBIN0468857</t>
  </si>
  <si>
    <t>095782377619</t>
  </si>
  <si>
    <t>MH/5177434</t>
  </si>
  <si>
    <t>73672725427609949</t>
  </si>
  <si>
    <t>EMP047</t>
  </si>
  <si>
    <t>Renu Gupta</t>
  </si>
  <si>
    <t>16-12-2024</t>
  </si>
  <si>
    <t>9895843125</t>
  </si>
  <si>
    <t>renu.gupta@example.com</t>
  </si>
  <si>
    <t>407053215578</t>
  </si>
  <si>
    <t>UNSKC1640T</t>
  </si>
  <si>
    <t>KKBK0405247</t>
  </si>
  <si>
    <t>585769194026</t>
  </si>
  <si>
    <t>MH/3980728</t>
  </si>
  <si>
    <t>23550103431236402</t>
  </si>
  <si>
    <t>EMP048</t>
  </si>
  <si>
    <t>Harish Kumar</t>
  </si>
  <si>
    <t>26-10-2015</t>
  </si>
  <si>
    <t>9142687683</t>
  </si>
  <si>
    <t>harish.kumar@example.com</t>
  </si>
  <si>
    <t>899883036343</t>
  </si>
  <si>
    <t>LFNXN4532L</t>
  </si>
  <si>
    <t>ICIC0404383</t>
  </si>
  <si>
    <t>677159382637</t>
  </si>
  <si>
    <t>MH/5775182</t>
  </si>
  <si>
    <t>14701354077228458</t>
  </si>
  <si>
    <t>EMP049</t>
  </si>
  <si>
    <t>Rajiv Menon</t>
  </si>
  <si>
    <t>31-01-2016</t>
  </si>
  <si>
    <t>9310783458</t>
  </si>
  <si>
    <t>rajiv.menon@example.com</t>
  </si>
  <si>
    <t>301266365062</t>
  </si>
  <si>
    <t>AMTOB9544Y</t>
  </si>
  <si>
    <t>SBIN0568399</t>
  </si>
  <si>
    <t>615295200105</t>
  </si>
  <si>
    <t>MH/4124133</t>
  </si>
  <si>
    <t>18018691052988078</t>
  </si>
  <si>
    <t>EMP050</t>
  </si>
  <si>
    <t>Sunil Bansal</t>
  </si>
  <si>
    <t>21-02-2025</t>
  </si>
  <si>
    <t>9703857290</t>
  </si>
  <si>
    <t>sunil.bansal@example.com</t>
  </si>
  <si>
    <t>068051784984</t>
  </si>
  <si>
    <t>SRVUZ3314X</t>
  </si>
  <si>
    <t>PUNB0496505</t>
  </si>
  <si>
    <t>056336636302</t>
  </si>
  <si>
    <t>MH/0222525</t>
  </si>
  <si>
    <t>00008676143634894</t>
  </si>
  <si>
    <t>Dizital Mantras</t>
  </si>
  <si>
    <t>PaySlip of Sep 2025</t>
  </si>
  <si>
    <t>IFSC NO</t>
  </si>
  <si>
    <t>Name</t>
  </si>
  <si>
    <t>EPF No</t>
  </si>
  <si>
    <t>Desgination</t>
  </si>
  <si>
    <t>Account No</t>
  </si>
  <si>
    <t>Department</t>
  </si>
  <si>
    <t>ESI No</t>
  </si>
  <si>
    <t>Pan No</t>
  </si>
  <si>
    <t>Adhar No</t>
  </si>
  <si>
    <t>Joining Date</t>
  </si>
  <si>
    <t>Payable Date</t>
  </si>
  <si>
    <t xml:space="preserve">Earnings                                                              Deductions  </t>
  </si>
  <si>
    <t>Basic</t>
  </si>
  <si>
    <t xml:space="preserve">TA </t>
  </si>
  <si>
    <t>Incentive</t>
  </si>
  <si>
    <t>Total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</si>
</sst>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1" fillId="0" borderId="0" xfId="0" applyNumberFormat="1" applyFont="1"/>
    <xf numFmtId="1" fontId="1" fillId="0" borderId="1" xfId="0" applyNumberFormat="1" applyFont="1" applyBorder="1"/>
    <xf numFmtId="1" fontId="1" fillId="0" borderId="2" xfId="0" applyNumberFormat="1" applyFont="1" applyBorder="1"/>
    <xf numFmtId="1" fontId="2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2" fillId="0" borderId="11" xfId="0" applyFont="1" applyBorder="1"/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2" xfId="0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2" xfId="0" applyFont="1" applyBorder="1"/>
    <xf numFmtId="1" fontId="2" fillId="0" borderId="1" xfId="0" applyNumberFormat="1" applyFont="1" applyBorder="1"/>
    <xf numFmtId="1" fontId="2" fillId="0" borderId="12" xfId="0" applyNumberFormat="1" applyFont="1" applyBorder="1"/>
    <xf numFmtId="1" fontId="6" fillId="2" borderId="16" xfId="0" applyNumberFormat="1" applyFont="1" applyFill="1" applyBorder="1"/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3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6" fillId="2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</cellXfs>
  <cellStyles count="1">
    <cellStyle name="Normal" xfId="0" builtinId="0"/>
  </cellStyles>
  <dxfs count="6">
    <dxf>
      <fill>
        <patternFill patternType="solid">
          <fgColor rgb="FF47D45A"/>
          <bgColor rgb="FF47D45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2060"/>
          <bgColor rgb="FF002060"/>
        </patternFill>
      </fill>
    </dxf>
    <dxf>
      <fill>
        <patternFill patternType="solid">
          <fgColor rgb="FFF1A983"/>
          <bgColor rgb="FFF1A9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Excel%20Files/Employe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N1000"/>
  <sheetViews>
    <sheetView workbookViewId="0"/>
  </sheetViews>
  <sheetFormatPr defaultColWidth="12.5703125" defaultRowHeight="15" customHeight="1" x14ac:dyDescent="0.25"/>
  <cols>
    <col min="1" max="1" width="7.7109375" customWidth="1"/>
    <col min="2" max="2" width="15" customWidth="1"/>
    <col min="3" max="3" width="13.85546875" customWidth="1"/>
    <col min="4" max="4" width="13.42578125" customWidth="1"/>
    <col min="5" max="5" width="13.85546875" customWidth="1"/>
    <col min="6" max="6" width="11.140625" customWidth="1"/>
    <col min="7" max="7" width="29.140625" customWidth="1"/>
    <col min="8" max="8" width="13.140625" customWidth="1"/>
    <col min="9" max="9" width="13.42578125" customWidth="1"/>
    <col min="10" max="10" width="13.140625" customWidth="1"/>
    <col min="11" max="11" width="13.5703125" customWidth="1"/>
    <col min="12" max="12" width="11.5703125" customWidth="1"/>
    <col min="13" max="13" width="18.28515625" customWidth="1"/>
    <col min="14" max="14" width="5.42578125" customWidth="1"/>
    <col min="15" max="15" width="4.28515625" customWidth="1"/>
    <col min="16" max="16" width="5" customWidth="1"/>
    <col min="17" max="17" width="4.5703125" customWidth="1"/>
    <col min="18" max="18" width="3.7109375" customWidth="1"/>
    <col min="19" max="19" width="4.140625" customWidth="1"/>
    <col min="20" max="20" width="4.7109375" customWidth="1"/>
    <col min="21" max="21" width="5.42578125" customWidth="1"/>
    <col min="22" max="22" width="4.28515625" customWidth="1"/>
    <col min="23" max="23" width="5" customWidth="1"/>
    <col min="24" max="24" width="4.5703125" customWidth="1"/>
    <col min="25" max="25" width="3.7109375" customWidth="1"/>
    <col min="26" max="26" width="4.140625" customWidth="1"/>
    <col min="27" max="27" width="4.7109375" customWidth="1"/>
    <col min="28" max="28" width="5.42578125" customWidth="1"/>
    <col min="29" max="29" width="4.28515625" customWidth="1"/>
    <col min="30" max="30" width="5" customWidth="1"/>
    <col min="31" max="31" width="4.5703125" customWidth="1"/>
    <col min="32" max="32" width="3.7109375" customWidth="1"/>
    <col min="33" max="33" width="4.140625" customWidth="1"/>
    <col min="34" max="34" width="4.7109375" customWidth="1"/>
    <col min="35" max="35" width="5.42578125" customWidth="1"/>
    <col min="36" max="36" width="4.28515625" customWidth="1"/>
    <col min="37" max="37" width="5" customWidth="1"/>
    <col min="38" max="38" width="4.5703125" customWidth="1"/>
    <col min="39" max="39" width="3.7109375" customWidth="1"/>
    <col min="40" max="40" width="4.140625" customWidth="1"/>
    <col min="41" max="41" width="4.7109375" customWidth="1"/>
    <col min="42" max="42" width="5.42578125" customWidth="1"/>
    <col min="43" max="43" width="4.28515625" customWidth="1"/>
    <col min="44" max="44" width="8.7109375" customWidth="1"/>
    <col min="45" max="45" width="7.7109375" customWidth="1"/>
    <col min="46" max="46" width="8.7109375" customWidth="1"/>
    <col min="47" max="47" width="6.140625" customWidth="1"/>
    <col min="48" max="48" width="9.28515625" customWidth="1"/>
    <col min="49" max="49" width="8.5703125" customWidth="1"/>
    <col min="50" max="50" width="13.42578125" customWidth="1"/>
    <col min="51" max="51" width="11.5703125" customWidth="1"/>
    <col min="52" max="52" width="11.7109375" customWidth="1"/>
    <col min="53" max="53" width="5" customWidth="1"/>
    <col min="54" max="54" width="6" customWidth="1"/>
    <col min="55" max="55" width="5" customWidth="1"/>
    <col min="56" max="56" width="12.5703125" customWidth="1"/>
    <col min="57" max="57" width="12.140625" customWidth="1"/>
    <col min="58" max="58" width="8.28515625" customWidth="1"/>
    <col min="59" max="59" width="9.42578125" customWidth="1"/>
    <col min="60" max="60" width="9.85546875" customWidth="1"/>
    <col min="61" max="61" width="10" customWidth="1"/>
    <col min="62" max="62" width="9.42578125" customWidth="1"/>
    <col min="63" max="63" width="4" customWidth="1"/>
    <col min="64" max="64" width="5" customWidth="1"/>
    <col min="65" max="65" width="8.5703125" customWidth="1"/>
    <col min="66" max="66" width="10.140625" customWidth="1"/>
  </cols>
  <sheetData>
    <row r="2" spans="1:6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0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0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  <c r="AB2" s="3" t="s">
        <v>0</v>
      </c>
      <c r="AC2" s="3" t="s">
        <v>1</v>
      </c>
      <c r="AD2" s="3" t="s">
        <v>2</v>
      </c>
      <c r="AE2" s="3" t="s">
        <v>3</v>
      </c>
      <c r="AF2" s="3" t="s">
        <v>4</v>
      </c>
      <c r="AG2" s="3" t="s">
        <v>5</v>
      </c>
      <c r="AH2" s="3" t="s">
        <v>6</v>
      </c>
      <c r="AI2" s="3" t="s">
        <v>0</v>
      </c>
      <c r="AJ2" s="3" t="s">
        <v>1</v>
      </c>
      <c r="AK2" s="3" t="s">
        <v>2</v>
      </c>
      <c r="AL2" s="3" t="s">
        <v>3</v>
      </c>
      <c r="AM2" s="3" t="s">
        <v>4</v>
      </c>
      <c r="AN2" s="3" t="s">
        <v>5</v>
      </c>
      <c r="AO2" s="3" t="s">
        <v>6</v>
      </c>
      <c r="AP2" s="3" t="s">
        <v>0</v>
      </c>
      <c r="AQ2" s="2" t="s">
        <v>1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x14ac:dyDescent="0.2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5">
        <v>45901</v>
      </c>
      <c r="O3" s="5">
        <v>45902</v>
      </c>
      <c r="P3" s="5">
        <v>45903</v>
      </c>
      <c r="Q3" s="5">
        <v>45904</v>
      </c>
      <c r="R3" s="5">
        <v>45905</v>
      </c>
      <c r="S3" s="5">
        <v>45906</v>
      </c>
      <c r="T3" s="5">
        <v>45907</v>
      </c>
      <c r="U3" s="5">
        <v>45908</v>
      </c>
      <c r="V3" s="5">
        <v>45909</v>
      </c>
      <c r="W3" s="5">
        <v>45910</v>
      </c>
      <c r="X3" s="5">
        <v>45911</v>
      </c>
      <c r="Y3" s="5">
        <v>45912</v>
      </c>
      <c r="Z3" s="5">
        <v>45913</v>
      </c>
      <c r="AA3" s="5">
        <v>45914</v>
      </c>
      <c r="AB3" s="5">
        <v>45915</v>
      </c>
      <c r="AC3" s="5">
        <v>45916</v>
      </c>
      <c r="AD3" s="5">
        <v>45917</v>
      </c>
      <c r="AE3" s="5">
        <v>45918</v>
      </c>
      <c r="AF3" s="5">
        <v>45919</v>
      </c>
      <c r="AG3" s="5">
        <v>45920</v>
      </c>
      <c r="AH3" s="5">
        <v>45921</v>
      </c>
      <c r="AI3" s="5">
        <v>45922</v>
      </c>
      <c r="AJ3" s="5">
        <v>45923</v>
      </c>
      <c r="AK3" s="5">
        <v>45924</v>
      </c>
      <c r="AL3" s="5">
        <v>45925</v>
      </c>
      <c r="AM3" s="5">
        <v>45926</v>
      </c>
      <c r="AN3" s="5">
        <v>45927</v>
      </c>
      <c r="AO3" s="5">
        <v>45928</v>
      </c>
      <c r="AP3" s="5">
        <v>45929</v>
      </c>
      <c r="AQ3" s="5">
        <v>45930</v>
      </c>
      <c r="AR3" s="6" t="s">
        <v>20</v>
      </c>
      <c r="AS3" s="6" t="s">
        <v>21</v>
      </c>
      <c r="AT3" s="6" t="s">
        <v>22</v>
      </c>
      <c r="AU3" s="6" t="s">
        <v>23</v>
      </c>
      <c r="AV3" s="6" t="s">
        <v>24</v>
      </c>
      <c r="AW3" s="6" t="s">
        <v>25</v>
      </c>
      <c r="AX3" s="6" t="s">
        <v>26</v>
      </c>
      <c r="AY3" s="7" t="s">
        <v>27</v>
      </c>
      <c r="AZ3" s="7" t="s">
        <v>28</v>
      </c>
      <c r="BA3" s="7" t="s">
        <v>29</v>
      </c>
      <c r="BB3" s="7" t="s">
        <v>30</v>
      </c>
      <c r="BC3" s="7" t="s">
        <v>31</v>
      </c>
      <c r="BD3" s="7" t="s">
        <v>32</v>
      </c>
      <c r="BE3" s="7" t="s">
        <v>33</v>
      </c>
      <c r="BF3" s="7" t="s">
        <v>34</v>
      </c>
      <c r="BG3" s="7" t="s">
        <v>35</v>
      </c>
      <c r="BH3" s="7" t="s">
        <v>36</v>
      </c>
      <c r="BI3" s="7" t="s">
        <v>37</v>
      </c>
      <c r="BJ3" s="7" t="s">
        <v>38</v>
      </c>
      <c r="BK3" s="7" t="s">
        <v>39</v>
      </c>
      <c r="BL3" s="7" t="s">
        <v>40</v>
      </c>
      <c r="BM3" s="7" t="s">
        <v>41</v>
      </c>
      <c r="BN3" s="7" t="s">
        <v>42</v>
      </c>
    </row>
    <row r="4" spans="1:66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56</v>
      </c>
      <c r="P4" s="2" t="s">
        <v>56</v>
      </c>
      <c r="Q4" s="2" t="s">
        <v>56</v>
      </c>
      <c r="R4" s="2" t="s">
        <v>56</v>
      </c>
      <c r="S4" s="2" t="s">
        <v>56</v>
      </c>
      <c r="T4" s="2" t="s">
        <v>57</v>
      </c>
      <c r="U4" s="2" t="s">
        <v>56</v>
      </c>
      <c r="V4" s="2" t="s">
        <v>56</v>
      </c>
      <c r="W4" s="2" t="s">
        <v>56</v>
      </c>
      <c r="X4" s="2" t="s">
        <v>56</v>
      </c>
      <c r="Y4" s="2" t="s">
        <v>56</v>
      </c>
      <c r="Z4" s="2" t="s">
        <v>56</v>
      </c>
      <c r="AA4" s="2" t="s">
        <v>57</v>
      </c>
      <c r="AB4" s="2" t="s">
        <v>56</v>
      </c>
      <c r="AC4" s="2" t="s">
        <v>56</v>
      </c>
      <c r="AD4" s="2" t="s">
        <v>56</v>
      </c>
      <c r="AE4" s="2" t="s">
        <v>58</v>
      </c>
      <c r="AF4" s="2" t="s">
        <v>56</v>
      </c>
      <c r="AG4" s="2" t="s">
        <v>56</v>
      </c>
      <c r="AH4" s="2" t="s">
        <v>57</v>
      </c>
      <c r="AI4" s="2" t="s">
        <v>56</v>
      </c>
      <c r="AJ4" s="2" t="s">
        <v>56</v>
      </c>
      <c r="AK4" s="2" t="s">
        <v>56</v>
      </c>
      <c r="AL4" s="2" t="s">
        <v>56</v>
      </c>
      <c r="AM4" s="2" t="s">
        <v>56</v>
      </c>
      <c r="AN4" s="2" t="s">
        <v>56</v>
      </c>
      <c r="AO4" s="2" t="s">
        <v>57</v>
      </c>
      <c r="AP4" s="2" t="s">
        <v>56</v>
      </c>
      <c r="AQ4" s="2" t="s">
        <v>56</v>
      </c>
      <c r="AR4" s="2">
        <f t="shared" ref="AR4:AR53" si="0">COUNTIF(N4:AQ4,"P")</f>
        <v>25</v>
      </c>
      <c r="AS4" s="2">
        <f t="shared" ref="AS4:AS53" si="1">COUNTIF(N4:AQ4,"A")</f>
        <v>1</v>
      </c>
      <c r="AT4" s="2">
        <f t="shared" ref="AT4:AT53" si="2">COUNTIF(N4:AQ4,"HO")</f>
        <v>0</v>
      </c>
      <c r="AU4" s="2">
        <f t="shared" ref="AU4:AU53" si="3">COUNTIF(N4:AQ4,"L")</f>
        <v>0</v>
      </c>
      <c r="AV4" s="2">
        <f t="shared" ref="AV4:AV53" si="4">COUNTIF(N4:AQ4,"WO")</f>
        <v>4</v>
      </c>
      <c r="AW4" s="2">
        <f t="shared" ref="AW4:AW53" si="5">COUNTIF(N4:AQ4,"H")</f>
        <v>0</v>
      </c>
      <c r="AX4" s="2">
        <f t="shared" ref="AX4:AX53" si="6">SUM(AR4:AW4)-AS4-IF(AU4&gt;1,AU4-1,0)-(AT4/2)-AV4</f>
        <v>25</v>
      </c>
      <c r="AY4" s="8">
        <v>15000</v>
      </c>
      <c r="AZ4" s="9">
        <f t="shared" ref="AZ4:AZ53" si="7">AY4/30*AX4</f>
        <v>12500</v>
      </c>
      <c r="BA4" s="2">
        <f t="shared" ref="BA4:BA53" si="8">AZ4*20%</f>
        <v>2500</v>
      </c>
      <c r="BB4" s="2">
        <f t="shared" ref="BB4:BB53" si="9">AZ4*40%</f>
        <v>5000</v>
      </c>
      <c r="BC4" s="2">
        <f t="shared" ref="BC4:BC53" si="10">5000/30*AX4</f>
        <v>4166.6666666666661</v>
      </c>
      <c r="BD4" s="2" t="e">
        <f>VLOOKUP(A4,[1]Sheet3!$A$2:$D$52,4,0)</f>
        <v>#N/A</v>
      </c>
      <c r="BE4" s="2" t="e">
        <f t="shared" ref="BE4:BE53" si="11">SUM(AZ4:BD4)</f>
        <v>#N/A</v>
      </c>
      <c r="BF4" s="2">
        <f t="shared" ref="BF4:BF53" si="12">IF(SUM(AZ4:BA4)&gt;=15000,1800,SUM(AZ4:BA4)*12%)</f>
        <v>1800</v>
      </c>
      <c r="BG4" s="2" t="e">
        <f t="shared" ref="BG4:BG53" si="13">BE4*0.75%</f>
        <v>#N/A</v>
      </c>
      <c r="BH4" s="2">
        <f t="shared" ref="BH4:BH53" si="14">IF(SUM(AZ4:BA4)&gt;=15000,550.5,(SUM(AZ4:BA4)*3.67%))</f>
        <v>550.5</v>
      </c>
      <c r="BI4" s="2">
        <f t="shared" ref="BI4:BI53" si="15">IF(SUM(AZ4:BA4)&gt;=15000,1249.5,SUM(AZ4:BA4)*8.33%)</f>
        <v>1249.5</v>
      </c>
      <c r="BJ4" s="2" t="e">
        <f t="shared" ref="BJ4:BJ53" si="16">IF(BE4&gt;=21000,0,BE4*3.25%)</f>
        <v>#N/A</v>
      </c>
      <c r="BK4" s="2" t="e">
        <f t="shared" ref="BK4:BK53" si="17">IF(BE4&gt;25000,200,IF(BE4&gt;20000,150,IF(BE4&gt;15000,100,0)))</f>
        <v>#N/A</v>
      </c>
      <c r="BL4" s="2" t="e">
        <f t="shared" ref="BL4:BL53" si="18">IF((BE4*12)&lt;=400000,0,
IF((BE4*12)&lt;=800000,((BE4*12)-400000)*5%,
IF((BE4*12)&lt;=1200000,20000+((BE4*12)-800000)*10%,
IF((BE4*12)&lt;=1600000,60000+((BE4*12)-1200000)*15%,
IF((BE4*12)&lt;=2000000,120000+((BE4*12)-1600000)*20%,
IF((BE4*12)&lt;=2400000,200000+((BE4*12)-2000000)*25%,
IF((BE4*12)&gt;2400000,300000+((BE4*12)-2400000)*30%)))))))/12</f>
        <v>#N/A</v>
      </c>
      <c r="BM4" s="2">
        <v>0</v>
      </c>
      <c r="BN4" s="2" t="e">
        <f t="shared" ref="BN4:BN53" si="19">BE4-BF4-BG4-BH4-BI4-BJ4-BK4-BL4-BM4</f>
        <v>#N/A</v>
      </c>
    </row>
    <row r="5" spans="1:66" x14ac:dyDescent="0.25">
      <c r="A5" s="2" t="s">
        <v>59</v>
      </c>
      <c r="B5" s="2" t="s">
        <v>60</v>
      </c>
      <c r="C5" s="2" t="s">
        <v>61</v>
      </c>
      <c r="D5" s="2" t="s">
        <v>46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58</v>
      </c>
      <c r="O5" s="2" t="s">
        <v>56</v>
      </c>
      <c r="P5" s="2" t="s">
        <v>56</v>
      </c>
      <c r="Q5" s="2" t="s">
        <v>56</v>
      </c>
      <c r="R5" s="2" t="s">
        <v>56</v>
      </c>
      <c r="S5" s="2" t="s">
        <v>56</v>
      </c>
      <c r="T5" s="2" t="s">
        <v>57</v>
      </c>
      <c r="U5" s="2" t="s">
        <v>56</v>
      </c>
      <c r="V5" s="2" t="s">
        <v>56</v>
      </c>
      <c r="W5" s="2" t="s">
        <v>56</v>
      </c>
      <c r="X5" s="2" t="s">
        <v>56</v>
      </c>
      <c r="Y5" s="2" t="s">
        <v>56</v>
      </c>
      <c r="Z5" s="2" t="s">
        <v>56</v>
      </c>
      <c r="AA5" s="2" t="s">
        <v>57</v>
      </c>
      <c r="AB5" s="2" t="s">
        <v>58</v>
      </c>
      <c r="AC5" s="2" t="s">
        <v>56</v>
      </c>
      <c r="AD5" s="2" t="s">
        <v>71</v>
      </c>
      <c r="AE5" s="2" t="s">
        <v>56</v>
      </c>
      <c r="AF5" s="2" t="s">
        <v>56</v>
      </c>
      <c r="AG5" s="2" t="s">
        <v>58</v>
      </c>
      <c r="AH5" s="2" t="s">
        <v>57</v>
      </c>
      <c r="AI5" s="2" t="s">
        <v>56</v>
      </c>
      <c r="AJ5" s="2" t="s">
        <v>58</v>
      </c>
      <c r="AK5" s="2" t="s">
        <v>56</v>
      </c>
      <c r="AL5" s="2" t="s">
        <v>56</v>
      </c>
      <c r="AM5" s="2" t="s">
        <v>56</v>
      </c>
      <c r="AN5" s="2" t="s">
        <v>56</v>
      </c>
      <c r="AO5" s="2" t="s">
        <v>57</v>
      </c>
      <c r="AP5" s="2" t="s">
        <v>56</v>
      </c>
      <c r="AQ5" s="2" t="s">
        <v>56</v>
      </c>
      <c r="AR5" s="2">
        <f t="shared" si="0"/>
        <v>21</v>
      </c>
      <c r="AS5" s="2">
        <f t="shared" si="1"/>
        <v>4</v>
      </c>
      <c r="AT5" s="2">
        <f t="shared" si="2"/>
        <v>0</v>
      </c>
      <c r="AU5" s="2">
        <f t="shared" si="3"/>
        <v>0</v>
      </c>
      <c r="AV5" s="2">
        <f t="shared" si="4"/>
        <v>4</v>
      </c>
      <c r="AW5" s="2">
        <f t="shared" si="5"/>
        <v>1</v>
      </c>
      <c r="AX5" s="2">
        <f t="shared" si="6"/>
        <v>22</v>
      </c>
      <c r="AY5" s="8">
        <v>11000</v>
      </c>
      <c r="AZ5" s="9">
        <f t="shared" si="7"/>
        <v>8066.666666666667</v>
      </c>
      <c r="BA5" s="2">
        <f t="shared" si="8"/>
        <v>1613.3333333333335</v>
      </c>
      <c r="BB5" s="2">
        <f t="shared" si="9"/>
        <v>3226.666666666667</v>
      </c>
      <c r="BC5" s="2">
        <f t="shared" si="10"/>
        <v>3666.6666666666665</v>
      </c>
      <c r="BD5" s="2" t="e">
        <f>VLOOKUP(A5,[1]Sheet3!$A$2:$D$52,4,0)</f>
        <v>#N/A</v>
      </c>
      <c r="BE5" s="2" t="e">
        <f t="shared" si="11"/>
        <v>#N/A</v>
      </c>
      <c r="BF5" s="2">
        <f t="shared" si="12"/>
        <v>1161.5999999999999</v>
      </c>
      <c r="BG5" s="2" t="e">
        <f t="shared" si="13"/>
        <v>#N/A</v>
      </c>
      <c r="BH5" s="2">
        <f t="shared" si="14"/>
        <v>355.25599999999997</v>
      </c>
      <c r="BI5" s="2">
        <f t="shared" si="15"/>
        <v>806.34399999999994</v>
      </c>
      <c r="BJ5" s="2" t="e">
        <f t="shared" si="16"/>
        <v>#N/A</v>
      </c>
      <c r="BK5" s="2" t="e">
        <f t="shared" si="17"/>
        <v>#N/A</v>
      </c>
      <c r="BL5" s="2" t="e">
        <f t="shared" si="18"/>
        <v>#N/A</v>
      </c>
      <c r="BM5" s="2">
        <v>0</v>
      </c>
      <c r="BN5" s="2" t="e">
        <f t="shared" si="19"/>
        <v>#N/A</v>
      </c>
    </row>
    <row r="6" spans="1:66" x14ac:dyDescent="0.25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83</v>
      </c>
      <c r="M6" s="2" t="s">
        <v>84</v>
      </c>
      <c r="N6" s="2" t="s">
        <v>56</v>
      </c>
      <c r="O6" s="2" t="s">
        <v>58</v>
      </c>
      <c r="P6" s="2" t="s">
        <v>58</v>
      </c>
      <c r="Q6" s="2" t="s">
        <v>56</v>
      </c>
      <c r="R6" s="2" t="s">
        <v>56</v>
      </c>
      <c r="S6" s="2" t="s">
        <v>56</v>
      </c>
      <c r="T6" s="2" t="s">
        <v>57</v>
      </c>
      <c r="U6" s="2" t="s">
        <v>56</v>
      </c>
      <c r="V6" s="2" t="s">
        <v>56</v>
      </c>
      <c r="W6" s="2" t="s">
        <v>56</v>
      </c>
      <c r="X6" s="2" t="s">
        <v>56</v>
      </c>
      <c r="Y6" s="2" t="s">
        <v>56</v>
      </c>
      <c r="Z6" s="2" t="s">
        <v>56</v>
      </c>
      <c r="AA6" s="2" t="s">
        <v>57</v>
      </c>
      <c r="AB6" s="2" t="s">
        <v>58</v>
      </c>
      <c r="AC6" s="2" t="s">
        <v>56</v>
      </c>
      <c r="AD6" s="2" t="s">
        <v>56</v>
      </c>
      <c r="AE6" s="2" t="s">
        <v>56</v>
      </c>
      <c r="AF6" s="2" t="s">
        <v>85</v>
      </c>
      <c r="AG6" s="2" t="s">
        <v>56</v>
      </c>
      <c r="AH6" s="2" t="s">
        <v>57</v>
      </c>
      <c r="AI6" s="2" t="s">
        <v>56</v>
      </c>
      <c r="AJ6" s="2" t="s">
        <v>58</v>
      </c>
      <c r="AK6" s="2" t="s">
        <v>58</v>
      </c>
      <c r="AL6" s="2" t="s">
        <v>56</v>
      </c>
      <c r="AM6" s="2" t="s">
        <v>56</v>
      </c>
      <c r="AN6" s="2" t="s">
        <v>56</v>
      </c>
      <c r="AO6" s="2" t="s">
        <v>57</v>
      </c>
      <c r="AP6" s="2" t="s">
        <v>56</v>
      </c>
      <c r="AQ6" s="2" t="s">
        <v>56</v>
      </c>
      <c r="AR6" s="2">
        <f t="shared" si="0"/>
        <v>20</v>
      </c>
      <c r="AS6" s="2">
        <f t="shared" si="1"/>
        <v>5</v>
      </c>
      <c r="AT6" s="2">
        <f t="shared" si="2"/>
        <v>0</v>
      </c>
      <c r="AU6" s="2">
        <f t="shared" si="3"/>
        <v>1</v>
      </c>
      <c r="AV6" s="2">
        <f t="shared" si="4"/>
        <v>4</v>
      </c>
      <c r="AW6" s="2">
        <f t="shared" si="5"/>
        <v>0</v>
      </c>
      <c r="AX6" s="2">
        <f t="shared" si="6"/>
        <v>21</v>
      </c>
      <c r="AY6" s="8">
        <v>14000</v>
      </c>
      <c r="AZ6" s="9">
        <f t="shared" si="7"/>
        <v>9800</v>
      </c>
      <c r="BA6" s="2">
        <f t="shared" si="8"/>
        <v>1960</v>
      </c>
      <c r="BB6" s="2">
        <f t="shared" si="9"/>
        <v>3920</v>
      </c>
      <c r="BC6" s="2">
        <f t="shared" si="10"/>
        <v>3500</v>
      </c>
      <c r="BD6" s="2" t="e">
        <f>VLOOKUP(A6,[1]Sheet3!$A$2:$D$52,4,0)</f>
        <v>#N/A</v>
      </c>
      <c r="BE6" s="2" t="e">
        <f t="shared" si="11"/>
        <v>#N/A</v>
      </c>
      <c r="BF6" s="2">
        <f t="shared" si="12"/>
        <v>1411.2</v>
      </c>
      <c r="BG6" s="2" t="e">
        <f t="shared" si="13"/>
        <v>#N/A</v>
      </c>
      <c r="BH6" s="2">
        <f t="shared" si="14"/>
        <v>431.59199999999998</v>
      </c>
      <c r="BI6" s="2">
        <f t="shared" si="15"/>
        <v>979.60799999999995</v>
      </c>
      <c r="BJ6" s="2" t="e">
        <f t="shared" si="16"/>
        <v>#N/A</v>
      </c>
      <c r="BK6" s="2" t="e">
        <f t="shared" si="17"/>
        <v>#N/A</v>
      </c>
      <c r="BL6" s="2" t="e">
        <f t="shared" si="18"/>
        <v>#N/A</v>
      </c>
      <c r="BM6" s="2">
        <v>0</v>
      </c>
      <c r="BN6" s="2" t="e">
        <f t="shared" si="19"/>
        <v>#N/A</v>
      </c>
    </row>
    <row r="7" spans="1:66" x14ac:dyDescent="0.25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93</v>
      </c>
      <c r="I7" s="2" t="s">
        <v>94</v>
      </c>
      <c r="J7" s="2" t="s">
        <v>95</v>
      </c>
      <c r="K7" s="2" t="s">
        <v>96</v>
      </c>
      <c r="L7" s="2" t="s">
        <v>97</v>
      </c>
      <c r="M7" s="2" t="s">
        <v>98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56</v>
      </c>
      <c r="S7" s="2" t="s">
        <v>56</v>
      </c>
      <c r="T7" s="2" t="s">
        <v>57</v>
      </c>
      <c r="U7" s="2" t="s">
        <v>56</v>
      </c>
      <c r="V7" s="2" t="s">
        <v>56</v>
      </c>
      <c r="W7" s="2" t="s">
        <v>85</v>
      </c>
      <c r="X7" s="2" t="s">
        <v>56</v>
      </c>
      <c r="Y7" s="2" t="s">
        <v>56</v>
      </c>
      <c r="Z7" s="2" t="s">
        <v>56</v>
      </c>
      <c r="AA7" s="2" t="s">
        <v>57</v>
      </c>
      <c r="AB7" s="2" t="s">
        <v>58</v>
      </c>
      <c r="AC7" s="2" t="s">
        <v>56</v>
      </c>
      <c r="AD7" s="2" t="s">
        <v>71</v>
      </c>
      <c r="AE7" s="2" t="s">
        <v>56</v>
      </c>
      <c r="AF7" s="2" t="s">
        <v>56</v>
      </c>
      <c r="AG7" s="2" t="s">
        <v>56</v>
      </c>
      <c r="AH7" s="2" t="s">
        <v>57</v>
      </c>
      <c r="AI7" s="2" t="s">
        <v>56</v>
      </c>
      <c r="AJ7" s="2" t="s">
        <v>85</v>
      </c>
      <c r="AK7" s="2" t="s">
        <v>56</v>
      </c>
      <c r="AL7" s="2" t="s">
        <v>56</v>
      </c>
      <c r="AM7" s="2" t="s">
        <v>85</v>
      </c>
      <c r="AN7" s="2" t="s">
        <v>56</v>
      </c>
      <c r="AO7" s="2" t="s">
        <v>57</v>
      </c>
      <c r="AP7" s="2" t="s">
        <v>56</v>
      </c>
      <c r="AQ7" s="2" t="s">
        <v>56</v>
      </c>
      <c r="AR7" s="2">
        <f t="shared" si="0"/>
        <v>21</v>
      </c>
      <c r="AS7" s="2">
        <f t="shared" si="1"/>
        <v>1</v>
      </c>
      <c r="AT7" s="2">
        <f t="shared" si="2"/>
        <v>0</v>
      </c>
      <c r="AU7" s="2">
        <f t="shared" si="3"/>
        <v>3</v>
      </c>
      <c r="AV7" s="2">
        <f t="shared" si="4"/>
        <v>4</v>
      </c>
      <c r="AW7" s="2">
        <f t="shared" si="5"/>
        <v>1</v>
      </c>
      <c r="AX7" s="2">
        <f t="shared" si="6"/>
        <v>23</v>
      </c>
      <c r="AY7" s="8">
        <v>19000</v>
      </c>
      <c r="AZ7" s="9">
        <f t="shared" si="7"/>
        <v>14566.666666666668</v>
      </c>
      <c r="BA7" s="2">
        <f t="shared" si="8"/>
        <v>2913.3333333333339</v>
      </c>
      <c r="BB7" s="2">
        <f t="shared" si="9"/>
        <v>5826.6666666666679</v>
      </c>
      <c r="BC7" s="2">
        <f t="shared" si="10"/>
        <v>3833.333333333333</v>
      </c>
      <c r="BD7" s="2" t="e">
        <f>VLOOKUP(A7,[1]Sheet3!$A$2:$D$52,4,0)</f>
        <v>#N/A</v>
      </c>
      <c r="BE7" s="2" t="e">
        <f t="shared" si="11"/>
        <v>#N/A</v>
      </c>
      <c r="BF7" s="2">
        <f t="shared" si="12"/>
        <v>1800</v>
      </c>
      <c r="BG7" s="2" t="e">
        <f t="shared" si="13"/>
        <v>#N/A</v>
      </c>
      <c r="BH7" s="2">
        <f t="shared" si="14"/>
        <v>550.5</v>
      </c>
      <c r="BI7" s="2">
        <f t="shared" si="15"/>
        <v>1249.5</v>
      </c>
      <c r="BJ7" s="2" t="e">
        <f t="shared" si="16"/>
        <v>#N/A</v>
      </c>
      <c r="BK7" s="2" t="e">
        <f t="shared" si="17"/>
        <v>#N/A</v>
      </c>
      <c r="BL7" s="2" t="e">
        <f t="shared" si="18"/>
        <v>#N/A</v>
      </c>
      <c r="BM7" s="2">
        <v>0</v>
      </c>
      <c r="BN7" s="2" t="e">
        <f t="shared" si="19"/>
        <v>#N/A</v>
      </c>
    </row>
    <row r="8" spans="1:66" x14ac:dyDescent="0.25">
      <c r="A8" s="2" t="s">
        <v>99</v>
      </c>
      <c r="B8" s="2" t="s">
        <v>100</v>
      </c>
      <c r="C8" s="2" t="s">
        <v>101</v>
      </c>
      <c r="D8" s="2" t="s">
        <v>75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56</v>
      </c>
      <c r="O8" s="2" t="s">
        <v>56</v>
      </c>
      <c r="P8" s="2" t="s">
        <v>85</v>
      </c>
      <c r="Q8" s="2" t="s">
        <v>58</v>
      </c>
      <c r="R8" s="2" t="s">
        <v>56</v>
      </c>
      <c r="S8" s="2" t="s">
        <v>56</v>
      </c>
      <c r="T8" s="2" t="s">
        <v>57</v>
      </c>
      <c r="U8" s="2" t="s">
        <v>56</v>
      </c>
      <c r="V8" s="2" t="s">
        <v>56</v>
      </c>
      <c r="W8" s="2" t="s">
        <v>56</v>
      </c>
      <c r="X8" s="2" t="s">
        <v>56</v>
      </c>
      <c r="Y8" s="2" t="s">
        <v>56</v>
      </c>
      <c r="Z8" s="2" t="s">
        <v>56</v>
      </c>
      <c r="AA8" s="2" t="s">
        <v>57</v>
      </c>
      <c r="AB8" s="2" t="s">
        <v>56</v>
      </c>
      <c r="AC8" s="2" t="s">
        <v>58</v>
      </c>
      <c r="AD8" s="2" t="s">
        <v>56</v>
      </c>
      <c r="AE8" s="2" t="s">
        <v>85</v>
      </c>
      <c r="AF8" s="2" t="s">
        <v>56</v>
      </c>
      <c r="AG8" s="2" t="s">
        <v>85</v>
      </c>
      <c r="AH8" s="2" t="s">
        <v>57</v>
      </c>
      <c r="AI8" s="2" t="s">
        <v>56</v>
      </c>
      <c r="AJ8" s="2" t="s">
        <v>56</v>
      </c>
      <c r="AK8" s="2" t="s">
        <v>56</v>
      </c>
      <c r="AL8" s="2" t="s">
        <v>85</v>
      </c>
      <c r="AM8" s="2" t="s">
        <v>56</v>
      </c>
      <c r="AN8" s="2" t="s">
        <v>56</v>
      </c>
      <c r="AO8" s="2" t="s">
        <v>57</v>
      </c>
      <c r="AP8" s="2" t="s">
        <v>56</v>
      </c>
      <c r="AQ8" s="2" t="s">
        <v>56</v>
      </c>
      <c r="AR8" s="2">
        <f t="shared" si="0"/>
        <v>20</v>
      </c>
      <c r="AS8" s="2">
        <f t="shared" si="1"/>
        <v>2</v>
      </c>
      <c r="AT8" s="2">
        <f t="shared" si="2"/>
        <v>0</v>
      </c>
      <c r="AU8" s="2">
        <f t="shared" si="3"/>
        <v>4</v>
      </c>
      <c r="AV8" s="2">
        <f t="shared" si="4"/>
        <v>4</v>
      </c>
      <c r="AW8" s="2">
        <f t="shared" si="5"/>
        <v>0</v>
      </c>
      <c r="AX8" s="2">
        <f t="shared" si="6"/>
        <v>21</v>
      </c>
      <c r="AY8" s="8">
        <v>13000</v>
      </c>
      <c r="AZ8" s="9">
        <f t="shared" si="7"/>
        <v>9100</v>
      </c>
      <c r="BA8" s="2">
        <f t="shared" si="8"/>
        <v>1820</v>
      </c>
      <c r="BB8" s="2">
        <f t="shared" si="9"/>
        <v>3640</v>
      </c>
      <c r="BC8" s="2">
        <f t="shared" si="10"/>
        <v>3500</v>
      </c>
      <c r="BD8" s="2" t="e">
        <f>VLOOKUP(A8,[1]Sheet3!$A$2:$D$52,4,0)</f>
        <v>#N/A</v>
      </c>
      <c r="BE8" s="2" t="e">
        <f t="shared" si="11"/>
        <v>#N/A</v>
      </c>
      <c r="BF8" s="2">
        <f t="shared" si="12"/>
        <v>1310.3999999999999</v>
      </c>
      <c r="BG8" s="2" t="e">
        <f t="shared" si="13"/>
        <v>#N/A</v>
      </c>
      <c r="BH8" s="2">
        <f t="shared" si="14"/>
        <v>400.76399999999995</v>
      </c>
      <c r="BI8" s="2">
        <f t="shared" si="15"/>
        <v>909.63599999999997</v>
      </c>
      <c r="BJ8" s="2" t="e">
        <f t="shared" si="16"/>
        <v>#N/A</v>
      </c>
      <c r="BK8" s="2" t="e">
        <f t="shared" si="17"/>
        <v>#N/A</v>
      </c>
      <c r="BL8" s="2" t="e">
        <f t="shared" si="18"/>
        <v>#N/A</v>
      </c>
      <c r="BM8" s="2">
        <v>6000</v>
      </c>
      <c r="BN8" s="2" t="e">
        <f t="shared" si="19"/>
        <v>#N/A</v>
      </c>
    </row>
    <row r="9" spans="1:66" x14ac:dyDescent="0.25">
      <c r="A9" s="2" t="s">
        <v>111</v>
      </c>
      <c r="B9" s="2" t="s">
        <v>112</v>
      </c>
      <c r="C9" s="2" t="s">
        <v>45</v>
      </c>
      <c r="D9" s="2" t="s">
        <v>89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56</v>
      </c>
      <c r="O9" s="2" t="s">
        <v>56</v>
      </c>
      <c r="P9" s="2" t="s">
        <v>56</v>
      </c>
      <c r="Q9" s="2" t="s">
        <v>56</v>
      </c>
      <c r="R9" s="2" t="s">
        <v>58</v>
      </c>
      <c r="S9" s="2" t="s">
        <v>56</v>
      </c>
      <c r="T9" s="2" t="s">
        <v>57</v>
      </c>
      <c r="U9" s="2" t="s">
        <v>56</v>
      </c>
      <c r="V9" s="2" t="s">
        <v>85</v>
      </c>
      <c r="W9" s="2" t="s">
        <v>56</v>
      </c>
      <c r="X9" s="2" t="s">
        <v>56</v>
      </c>
      <c r="Y9" s="2" t="s">
        <v>85</v>
      </c>
      <c r="Z9" s="2" t="s">
        <v>56</v>
      </c>
      <c r="AA9" s="2" t="s">
        <v>57</v>
      </c>
      <c r="AB9" s="2" t="s">
        <v>56</v>
      </c>
      <c r="AC9" s="2" t="s">
        <v>71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57</v>
      </c>
      <c r="AI9" s="2" t="s">
        <v>56</v>
      </c>
      <c r="AJ9" s="2" t="s">
        <v>56</v>
      </c>
      <c r="AK9" s="2" t="s">
        <v>56</v>
      </c>
      <c r="AL9" s="2" t="s">
        <v>56</v>
      </c>
      <c r="AM9" s="2" t="s">
        <v>85</v>
      </c>
      <c r="AN9" s="2" t="s">
        <v>58</v>
      </c>
      <c r="AO9" s="2" t="s">
        <v>57</v>
      </c>
      <c r="AP9" s="2" t="s">
        <v>56</v>
      </c>
      <c r="AQ9" s="2" t="s">
        <v>56</v>
      </c>
      <c r="AR9" s="2">
        <f t="shared" si="0"/>
        <v>20</v>
      </c>
      <c r="AS9" s="2">
        <f t="shared" si="1"/>
        <v>2</v>
      </c>
      <c r="AT9" s="2">
        <f t="shared" si="2"/>
        <v>0</v>
      </c>
      <c r="AU9" s="2">
        <f t="shared" si="3"/>
        <v>3</v>
      </c>
      <c r="AV9" s="2">
        <f t="shared" si="4"/>
        <v>4</v>
      </c>
      <c r="AW9" s="2">
        <f t="shared" si="5"/>
        <v>1</v>
      </c>
      <c r="AX9" s="2">
        <f t="shared" si="6"/>
        <v>22</v>
      </c>
      <c r="AY9" s="8">
        <v>14000</v>
      </c>
      <c r="AZ9" s="9">
        <f t="shared" si="7"/>
        <v>10266.666666666668</v>
      </c>
      <c r="BA9" s="2">
        <f t="shared" si="8"/>
        <v>2053.3333333333335</v>
      </c>
      <c r="BB9" s="2">
        <f t="shared" si="9"/>
        <v>4106.666666666667</v>
      </c>
      <c r="BC9" s="2">
        <f t="shared" si="10"/>
        <v>3666.6666666666665</v>
      </c>
      <c r="BD9" s="2" t="e">
        <f>VLOOKUP(A9,[1]Sheet3!$A$2:$D$52,4,0)</f>
        <v>#N/A</v>
      </c>
      <c r="BE9" s="2" t="e">
        <f t="shared" si="11"/>
        <v>#N/A</v>
      </c>
      <c r="BF9" s="2">
        <f t="shared" si="12"/>
        <v>1478.4</v>
      </c>
      <c r="BG9" s="2" t="e">
        <f t="shared" si="13"/>
        <v>#N/A</v>
      </c>
      <c r="BH9" s="2">
        <f t="shared" si="14"/>
        <v>452.14400000000001</v>
      </c>
      <c r="BI9" s="2">
        <f t="shared" si="15"/>
        <v>1026.2560000000001</v>
      </c>
      <c r="BJ9" s="2" t="e">
        <f t="shared" si="16"/>
        <v>#N/A</v>
      </c>
      <c r="BK9" s="2" t="e">
        <f t="shared" si="17"/>
        <v>#N/A</v>
      </c>
      <c r="BL9" s="2" t="e">
        <f t="shared" si="18"/>
        <v>#N/A</v>
      </c>
      <c r="BM9" s="2">
        <v>0</v>
      </c>
      <c r="BN9" s="2" t="e">
        <f t="shared" si="19"/>
        <v>#N/A</v>
      </c>
    </row>
    <row r="10" spans="1:66" x14ac:dyDescent="0.25">
      <c r="A10" s="2" t="s">
        <v>122</v>
      </c>
      <c r="B10" s="2" t="s">
        <v>123</v>
      </c>
      <c r="C10" s="2" t="s">
        <v>74</v>
      </c>
      <c r="D10" s="2" t="s">
        <v>89</v>
      </c>
      <c r="E10" s="2" t="s">
        <v>124</v>
      </c>
      <c r="F10" s="2" t="s">
        <v>125</v>
      </c>
      <c r="G10" s="2" t="s">
        <v>126</v>
      </c>
      <c r="H10" s="2" t="s">
        <v>127</v>
      </c>
      <c r="I10" s="2" t="s">
        <v>128</v>
      </c>
      <c r="J10" s="2" t="s">
        <v>129</v>
      </c>
      <c r="K10" s="2" t="s">
        <v>130</v>
      </c>
      <c r="L10" s="2" t="s">
        <v>131</v>
      </c>
      <c r="M10" s="2" t="s">
        <v>132</v>
      </c>
      <c r="N10" s="2" t="s">
        <v>133</v>
      </c>
      <c r="O10" s="2" t="s">
        <v>56</v>
      </c>
      <c r="P10" s="2" t="s">
        <v>85</v>
      </c>
      <c r="Q10" s="2" t="s">
        <v>56</v>
      </c>
      <c r="R10" s="2" t="s">
        <v>56</v>
      </c>
      <c r="S10" s="2" t="s">
        <v>58</v>
      </c>
      <c r="T10" s="2" t="s">
        <v>57</v>
      </c>
      <c r="U10" s="2" t="s">
        <v>56</v>
      </c>
      <c r="V10" s="2" t="s">
        <v>56</v>
      </c>
      <c r="W10" s="2" t="s">
        <v>56</v>
      </c>
      <c r="X10" s="2" t="s">
        <v>56</v>
      </c>
      <c r="Y10" s="2" t="s">
        <v>56</v>
      </c>
      <c r="Z10" s="2" t="s">
        <v>56</v>
      </c>
      <c r="AA10" s="2" t="s">
        <v>57</v>
      </c>
      <c r="AB10" s="2" t="s">
        <v>71</v>
      </c>
      <c r="AC10" s="2" t="s">
        <v>56</v>
      </c>
      <c r="AD10" s="2" t="s">
        <v>85</v>
      </c>
      <c r="AE10" s="2" t="s">
        <v>58</v>
      </c>
      <c r="AF10" s="2" t="s">
        <v>56</v>
      </c>
      <c r="AG10" s="2" t="s">
        <v>56</v>
      </c>
      <c r="AH10" s="2" t="s">
        <v>57</v>
      </c>
      <c r="AI10" s="2" t="s">
        <v>56</v>
      </c>
      <c r="AJ10" s="2" t="s">
        <v>85</v>
      </c>
      <c r="AK10" s="2" t="s">
        <v>56</v>
      </c>
      <c r="AL10" s="2" t="s">
        <v>56</v>
      </c>
      <c r="AM10" s="2" t="s">
        <v>56</v>
      </c>
      <c r="AN10" s="2" t="s">
        <v>56</v>
      </c>
      <c r="AO10" s="2" t="s">
        <v>57</v>
      </c>
      <c r="AP10" s="2" t="s">
        <v>56</v>
      </c>
      <c r="AQ10" s="2" t="s">
        <v>56</v>
      </c>
      <c r="AR10" s="2">
        <f t="shared" si="0"/>
        <v>19</v>
      </c>
      <c r="AS10" s="2">
        <f t="shared" si="1"/>
        <v>2</v>
      </c>
      <c r="AT10" s="2">
        <f t="shared" si="2"/>
        <v>1</v>
      </c>
      <c r="AU10" s="2">
        <f t="shared" si="3"/>
        <v>3</v>
      </c>
      <c r="AV10" s="2">
        <f t="shared" si="4"/>
        <v>4</v>
      </c>
      <c r="AW10" s="2">
        <f t="shared" si="5"/>
        <v>1</v>
      </c>
      <c r="AX10" s="2">
        <f t="shared" si="6"/>
        <v>21.5</v>
      </c>
      <c r="AY10" s="8">
        <v>14000</v>
      </c>
      <c r="AZ10" s="9">
        <f t="shared" si="7"/>
        <v>10033.333333333334</v>
      </c>
      <c r="BA10" s="2">
        <f t="shared" si="8"/>
        <v>2006.666666666667</v>
      </c>
      <c r="BB10" s="2">
        <f t="shared" si="9"/>
        <v>4013.3333333333339</v>
      </c>
      <c r="BC10" s="2">
        <f t="shared" si="10"/>
        <v>3583.333333333333</v>
      </c>
      <c r="BD10" s="2" t="e">
        <f>VLOOKUP(A10,[1]Sheet3!$A$2:$D$52,4,0)</f>
        <v>#N/A</v>
      </c>
      <c r="BE10" s="2" t="e">
        <f t="shared" si="11"/>
        <v>#N/A</v>
      </c>
      <c r="BF10" s="2">
        <f t="shared" si="12"/>
        <v>1444.8</v>
      </c>
      <c r="BG10" s="2" t="e">
        <f t="shared" si="13"/>
        <v>#N/A</v>
      </c>
      <c r="BH10" s="2">
        <f t="shared" si="14"/>
        <v>441.86799999999994</v>
      </c>
      <c r="BI10" s="2">
        <f t="shared" si="15"/>
        <v>1002.932</v>
      </c>
      <c r="BJ10" s="2" t="e">
        <f t="shared" si="16"/>
        <v>#N/A</v>
      </c>
      <c r="BK10" s="2" t="e">
        <f t="shared" si="17"/>
        <v>#N/A</v>
      </c>
      <c r="BL10" s="2" t="e">
        <f t="shared" si="18"/>
        <v>#N/A</v>
      </c>
      <c r="BM10" s="2">
        <v>0</v>
      </c>
      <c r="BN10" s="2" t="e">
        <f t="shared" si="19"/>
        <v>#N/A</v>
      </c>
    </row>
    <row r="11" spans="1:66" x14ac:dyDescent="0.25">
      <c r="A11" s="2" t="s">
        <v>134</v>
      </c>
      <c r="B11" s="2" t="s">
        <v>135</v>
      </c>
      <c r="C11" s="2" t="s">
        <v>74</v>
      </c>
      <c r="D11" s="2" t="s">
        <v>46</v>
      </c>
      <c r="E11" s="2" t="s">
        <v>136</v>
      </c>
      <c r="F11" s="2" t="s">
        <v>137</v>
      </c>
      <c r="G11" s="2" t="s">
        <v>138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56</v>
      </c>
      <c r="O11" s="2" t="s">
        <v>56</v>
      </c>
      <c r="P11" s="2" t="s">
        <v>56</v>
      </c>
      <c r="Q11" s="2" t="s">
        <v>56</v>
      </c>
      <c r="R11" s="2" t="s">
        <v>85</v>
      </c>
      <c r="S11" s="2" t="s">
        <v>56</v>
      </c>
      <c r="T11" s="2" t="s">
        <v>57</v>
      </c>
      <c r="U11" s="2" t="s">
        <v>85</v>
      </c>
      <c r="V11" s="2" t="s">
        <v>56</v>
      </c>
      <c r="W11" s="2" t="s">
        <v>56</v>
      </c>
      <c r="X11" s="2" t="s">
        <v>56</v>
      </c>
      <c r="Y11" s="2" t="s">
        <v>56</v>
      </c>
      <c r="Z11" s="2" t="s">
        <v>56</v>
      </c>
      <c r="AA11" s="2" t="s">
        <v>57</v>
      </c>
      <c r="AB11" s="2" t="s">
        <v>56</v>
      </c>
      <c r="AC11" s="2" t="s">
        <v>56</v>
      </c>
      <c r="AD11" s="2" t="s">
        <v>56</v>
      </c>
      <c r="AE11" s="2" t="s">
        <v>58</v>
      </c>
      <c r="AF11" s="2" t="s">
        <v>56</v>
      </c>
      <c r="AG11" s="2" t="s">
        <v>85</v>
      </c>
      <c r="AH11" s="2" t="s">
        <v>57</v>
      </c>
      <c r="AI11" s="2" t="s">
        <v>56</v>
      </c>
      <c r="AJ11" s="2" t="s">
        <v>56</v>
      </c>
      <c r="AK11" s="2" t="s">
        <v>56</v>
      </c>
      <c r="AL11" s="2" t="s">
        <v>56</v>
      </c>
      <c r="AM11" s="2" t="s">
        <v>56</v>
      </c>
      <c r="AN11" s="2" t="s">
        <v>56</v>
      </c>
      <c r="AO11" s="2" t="s">
        <v>57</v>
      </c>
      <c r="AP11" s="2" t="s">
        <v>56</v>
      </c>
      <c r="AQ11" s="2" t="s">
        <v>56</v>
      </c>
      <c r="AR11" s="2">
        <f t="shared" si="0"/>
        <v>22</v>
      </c>
      <c r="AS11" s="2">
        <f t="shared" si="1"/>
        <v>1</v>
      </c>
      <c r="AT11" s="2">
        <f t="shared" si="2"/>
        <v>0</v>
      </c>
      <c r="AU11" s="2">
        <f t="shared" si="3"/>
        <v>3</v>
      </c>
      <c r="AV11" s="2">
        <f t="shared" si="4"/>
        <v>4</v>
      </c>
      <c r="AW11" s="2">
        <f t="shared" si="5"/>
        <v>0</v>
      </c>
      <c r="AX11" s="2">
        <f t="shared" si="6"/>
        <v>23</v>
      </c>
      <c r="AY11" s="8">
        <v>15000</v>
      </c>
      <c r="AZ11" s="9">
        <f t="shared" si="7"/>
        <v>11500</v>
      </c>
      <c r="BA11" s="2">
        <f t="shared" si="8"/>
        <v>2300</v>
      </c>
      <c r="BB11" s="2">
        <f t="shared" si="9"/>
        <v>4600</v>
      </c>
      <c r="BC11" s="2">
        <f t="shared" si="10"/>
        <v>3833.333333333333</v>
      </c>
      <c r="BD11" s="2" t="e">
        <f>VLOOKUP(A11,[1]Sheet3!$A$2:$D$52,4,0)</f>
        <v>#N/A</v>
      </c>
      <c r="BE11" s="2" t="e">
        <f t="shared" si="11"/>
        <v>#N/A</v>
      </c>
      <c r="BF11" s="2">
        <f t="shared" si="12"/>
        <v>1656</v>
      </c>
      <c r="BG11" s="2" t="e">
        <f t="shared" si="13"/>
        <v>#N/A</v>
      </c>
      <c r="BH11" s="2">
        <f t="shared" si="14"/>
        <v>506.46</v>
      </c>
      <c r="BI11" s="2">
        <f t="shared" si="15"/>
        <v>1149.54</v>
      </c>
      <c r="BJ11" s="2" t="e">
        <f t="shared" si="16"/>
        <v>#N/A</v>
      </c>
      <c r="BK11" s="2" t="e">
        <f t="shared" si="17"/>
        <v>#N/A</v>
      </c>
      <c r="BL11" s="2" t="e">
        <f t="shared" si="18"/>
        <v>#N/A</v>
      </c>
      <c r="BM11" s="2">
        <v>0</v>
      </c>
      <c r="BN11" s="2" t="e">
        <f t="shared" si="19"/>
        <v>#N/A</v>
      </c>
    </row>
    <row r="12" spans="1:66" x14ac:dyDescent="0.25">
      <c r="A12" s="2" t="s">
        <v>145</v>
      </c>
      <c r="B12" s="2" t="s">
        <v>146</v>
      </c>
      <c r="C12" s="2" t="s">
        <v>101</v>
      </c>
      <c r="D12" s="2" t="s">
        <v>89</v>
      </c>
      <c r="E12" s="2" t="s">
        <v>147</v>
      </c>
      <c r="F12" s="2" t="s">
        <v>148</v>
      </c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153</v>
      </c>
      <c r="L12" s="2" t="s">
        <v>154</v>
      </c>
      <c r="M12" s="2" t="s">
        <v>155</v>
      </c>
      <c r="N12" s="2" t="s">
        <v>133</v>
      </c>
      <c r="O12" s="2" t="s">
        <v>56</v>
      </c>
      <c r="P12" s="2" t="s">
        <v>56</v>
      </c>
      <c r="Q12" s="2" t="s">
        <v>56</v>
      </c>
      <c r="R12" s="2" t="s">
        <v>56</v>
      </c>
      <c r="S12" s="2" t="s">
        <v>85</v>
      </c>
      <c r="T12" s="2" t="s">
        <v>57</v>
      </c>
      <c r="U12" s="2" t="s">
        <v>56</v>
      </c>
      <c r="V12" s="2" t="s">
        <v>56</v>
      </c>
      <c r="W12" s="2" t="s">
        <v>58</v>
      </c>
      <c r="X12" s="2" t="s">
        <v>56</v>
      </c>
      <c r="Y12" s="2" t="s">
        <v>56</v>
      </c>
      <c r="Z12" s="2" t="s">
        <v>71</v>
      </c>
      <c r="AA12" s="2" t="s">
        <v>57</v>
      </c>
      <c r="AB12" s="2" t="s">
        <v>56</v>
      </c>
      <c r="AC12" s="2" t="s">
        <v>56</v>
      </c>
      <c r="AD12" s="2" t="s">
        <v>56</v>
      </c>
      <c r="AE12" s="2" t="s">
        <v>58</v>
      </c>
      <c r="AF12" s="2" t="s">
        <v>56</v>
      </c>
      <c r="AG12" s="2" t="s">
        <v>56</v>
      </c>
      <c r="AH12" s="2" t="s">
        <v>57</v>
      </c>
      <c r="AI12" s="2" t="s">
        <v>56</v>
      </c>
      <c r="AJ12" s="2" t="s">
        <v>56</v>
      </c>
      <c r="AK12" s="2" t="s">
        <v>56</v>
      </c>
      <c r="AL12" s="2" t="s">
        <v>85</v>
      </c>
      <c r="AM12" s="2" t="s">
        <v>71</v>
      </c>
      <c r="AN12" s="2" t="s">
        <v>58</v>
      </c>
      <c r="AO12" s="2" t="s">
        <v>57</v>
      </c>
      <c r="AP12" s="2" t="s">
        <v>56</v>
      </c>
      <c r="AQ12" s="2" t="s">
        <v>56</v>
      </c>
      <c r="AR12" s="2">
        <f t="shared" si="0"/>
        <v>18</v>
      </c>
      <c r="AS12" s="2">
        <f t="shared" si="1"/>
        <v>3</v>
      </c>
      <c r="AT12" s="2">
        <f t="shared" si="2"/>
        <v>1</v>
      </c>
      <c r="AU12" s="2">
        <f t="shared" si="3"/>
        <v>2</v>
      </c>
      <c r="AV12" s="2">
        <f t="shared" si="4"/>
        <v>4</v>
      </c>
      <c r="AW12" s="2">
        <f t="shared" si="5"/>
        <v>2</v>
      </c>
      <c r="AX12" s="2">
        <f t="shared" si="6"/>
        <v>21.5</v>
      </c>
      <c r="AY12" s="8">
        <v>16000</v>
      </c>
      <c r="AZ12" s="9">
        <f t="shared" si="7"/>
        <v>11466.666666666668</v>
      </c>
      <c r="BA12" s="2">
        <f t="shared" si="8"/>
        <v>2293.3333333333335</v>
      </c>
      <c r="BB12" s="2">
        <f t="shared" si="9"/>
        <v>4586.666666666667</v>
      </c>
      <c r="BC12" s="2">
        <f t="shared" si="10"/>
        <v>3583.333333333333</v>
      </c>
      <c r="BD12" s="2" t="e">
        <f>VLOOKUP(A12,[1]Sheet3!$A$2:$D$52,4,0)</f>
        <v>#N/A</v>
      </c>
      <c r="BE12" s="2" t="e">
        <f t="shared" si="11"/>
        <v>#N/A</v>
      </c>
      <c r="BF12" s="2">
        <f t="shared" si="12"/>
        <v>1651.2</v>
      </c>
      <c r="BG12" s="2" t="e">
        <f t="shared" si="13"/>
        <v>#N/A</v>
      </c>
      <c r="BH12" s="2">
        <f t="shared" si="14"/>
        <v>504.99200000000002</v>
      </c>
      <c r="BI12" s="2">
        <f t="shared" si="15"/>
        <v>1146.2080000000001</v>
      </c>
      <c r="BJ12" s="2" t="e">
        <f t="shared" si="16"/>
        <v>#N/A</v>
      </c>
      <c r="BK12" s="2" t="e">
        <f t="shared" si="17"/>
        <v>#N/A</v>
      </c>
      <c r="BL12" s="2" t="e">
        <f t="shared" si="18"/>
        <v>#N/A</v>
      </c>
      <c r="BM12" s="2">
        <v>0</v>
      </c>
      <c r="BN12" s="2" t="e">
        <f t="shared" si="19"/>
        <v>#N/A</v>
      </c>
    </row>
    <row r="13" spans="1:66" x14ac:dyDescent="0.25">
      <c r="A13" s="2" t="s">
        <v>156</v>
      </c>
      <c r="B13" s="2" t="s">
        <v>157</v>
      </c>
      <c r="C13" s="2" t="s">
        <v>88</v>
      </c>
      <c r="D13" s="2" t="s">
        <v>158</v>
      </c>
      <c r="E13" s="2" t="s">
        <v>159</v>
      </c>
      <c r="F13" s="2" t="s">
        <v>160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56</v>
      </c>
      <c r="O13" s="2" t="s">
        <v>56</v>
      </c>
      <c r="P13" s="2" t="s">
        <v>56</v>
      </c>
      <c r="Q13" s="2" t="s">
        <v>56</v>
      </c>
      <c r="R13" s="2" t="s">
        <v>56</v>
      </c>
      <c r="S13" s="2" t="s">
        <v>56</v>
      </c>
      <c r="T13" s="2" t="s">
        <v>57</v>
      </c>
      <c r="U13" s="2" t="s">
        <v>85</v>
      </c>
      <c r="V13" s="2" t="s">
        <v>56</v>
      </c>
      <c r="W13" s="2" t="s">
        <v>56</v>
      </c>
      <c r="X13" s="2" t="s">
        <v>58</v>
      </c>
      <c r="Y13" s="2" t="s">
        <v>85</v>
      </c>
      <c r="Z13" s="2" t="s">
        <v>56</v>
      </c>
      <c r="AA13" s="2" t="s">
        <v>57</v>
      </c>
      <c r="AB13" s="2" t="s">
        <v>56</v>
      </c>
      <c r="AC13" s="2" t="s">
        <v>85</v>
      </c>
      <c r="AD13" s="2" t="s">
        <v>56</v>
      </c>
      <c r="AE13" s="2" t="s">
        <v>58</v>
      </c>
      <c r="AF13" s="2" t="s">
        <v>71</v>
      </c>
      <c r="AG13" s="2" t="s">
        <v>56</v>
      </c>
      <c r="AH13" s="2" t="s">
        <v>57</v>
      </c>
      <c r="AI13" s="2" t="s">
        <v>56</v>
      </c>
      <c r="AJ13" s="2" t="s">
        <v>85</v>
      </c>
      <c r="AK13" s="2" t="s">
        <v>56</v>
      </c>
      <c r="AL13" s="2" t="s">
        <v>56</v>
      </c>
      <c r="AM13" s="2" t="s">
        <v>71</v>
      </c>
      <c r="AN13" s="2" t="s">
        <v>56</v>
      </c>
      <c r="AO13" s="2" t="s">
        <v>57</v>
      </c>
      <c r="AP13" s="2" t="s">
        <v>56</v>
      </c>
      <c r="AQ13" s="2" t="s">
        <v>56</v>
      </c>
      <c r="AR13" s="2">
        <f t="shared" si="0"/>
        <v>18</v>
      </c>
      <c r="AS13" s="2">
        <f t="shared" si="1"/>
        <v>2</v>
      </c>
      <c r="AT13" s="2">
        <f t="shared" si="2"/>
        <v>0</v>
      </c>
      <c r="AU13" s="2">
        <f t="shared" si="3"/>
        <v>4</v>
      </c>
      <c r="AV13" s="2">
        <f t="shared" si="4"/>
        <v>4</v>
      </c>
      <c r="AW13" s="2">
        <f t="shared" si="5"/>
        <v>2</v>
      </c>
      <c r="AX13" s="2">
        <f t="shared" si="6"/>
        <v>21</v>
      </c>
      <c r="AY13" s="8">
        <v>13000</v>
      </c>
      <c r="AZ13" s="9">
        <f t="shared" si="7"/>
        <v>9100</v>
      </c>
      <c r="BA13" s="2">
        <f t="shared" si="8"/>
        <v>1820</v>
      </c>
      <c r="BB13" s="2">
        <f t="shared" si="9"/>
        <v>3640</v>
      </c>
      <c r="BC13" s="2">
        <f t="shared" si="10"/>
        <v>3500</v>
      </c>
      <c r="BD13" s="2" t="e">
        <f>VLOOKUP(A13,[1]Sheet3!$A$2:$D$52,4,0)</f>
        <v>#N/A</v>
      </c>
      <c r="BE13" s="2" t="e">
        <f t="shared" si="11"/>
        <v>#N/A</v>
      </c>
      <c r="BF13" s="2">
        <f t="shared" si="12"/>
        <v>1310.3999999999999</v>
      </c>
      <c r="BG13" s="2" t="e">
        <f t="shared" si="13"/>
        <v>#N/A</v>
      </c>
      <c r="BH13" s="2">
        <f t="shared" si="14"/>
        <v>400.76399999999995</v>
      </c>
      <c r="BI13" s="2">
        <f t="shared" si="15"/>
        <v>909.63599999999997</v>
      </c>
      <c r="BJ13" s="2" t="e">
        <f t="shared" si="16"/>
        <v>#N/A</v>
      </c>
      <c r="BK13" s="2" t="e">
        <f t="shared" si="17"/>
        <v>#N/A</v>
      </c>
      <c r="BL13" s="2" t="e">
        <f t="shared" si="18"/>
        <v>#N/A</v>
      </c>
      <c r="BM13" s="2">
        <v>0</v>
      </c>
      <c r="BN13" s="2" t="e">
        <f t="shared" si="19"/>
        <v>#N/A</v>
      </c>
    </row>
    <row r="14" spans="1:66" x14ac:dyDescent="0.25">
      <c r="A14" s="2" t="s">
        <v>168</v>
      </c>
      <c r="B14" s="2" t="s">
        <v>169</v>
      </c>
      <c r="C14" s="2" t="s">
        <v>61</v>
      </c>
      <c r="D14" s="2" t="s">
        <v>46</v>
      </c>
      <c r="E14" s="2" t="s">
        <v>170</v>
      </c>
      <c r="F14" s="2" t="s">
        <v>171</v>
      </c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133</v>
      </c>
      <c r="O14" s="2" t="s">
        <v>56</v>
      </c>
      <c r="P14" s="2" t="s">
        <v>56</v>
      </c>
      <c r="Q14" s="2" t="s">
        <v>56</v>
      </c>
      <c r="R14" s="2" t="s">
        <v>56</v>
      </c>
      <c r="S14" s="2" t="s">
        <v>56</v>
      </c>
      <c r="T14" s="2" t="s">
        <v>57</v>
      </c>
      <c r="U14" s="2" t="s">
        <v>56</v>
      </c>
      <c r="V14" s="2" t="s">
        <v>56</v>
      </c>
      <c r="W14" s="2" t="s">
        <v>56</v>
      </c>
      <c r="X14" s="2" t="s">
        <v>56</v>
      </c>
      <c r="Y14" s="2" t="s">
        <v>58</v>
      </c>
      <c r="Z14" s="2" t="s">
        <v>56</v>
      </c>
      <c r="AA14" s="2" t="s">
        <v>57</v>
      </c>
      <c r="AB14" s="2" t="s">
        <v>56</v>
      </c>
      <c r="AC14" s="2" t="s">
        <v>56</v>
      </c>
      <c r="AD14" s="2" t="s">
        <v>56</v>
      </c>
      <c r="AE14" s="2" t="s">
        <v>71</v>
      </c>
      <c r="AF14" s="2" t="s">
        <v>71</v>
      </c>
      <c r="AG14" s="2" t="s">
        <v>85</v>
      </c>
      <c r="AH14" s="2" t="s">
        <v>57</v>
      </c>
      <c r="AI14" s="2" t="s">
        <v>56</v>
      </c>
      <c r="AJ14" s="2" t="s">
        <v>56</v>
      </c>
      <c r="AK14" s="2" t="s">
        <v>56</v>
      </c>
      <c r="AL14" s="2" t="s">
        <v>56</v>
      </c>
      <c r="AM14" s="2" t="s">
        <v>56</v>
      </c>
      <c r="AN14" s="2" t="s">
        <v>58</v>
      </c>
      <c r="AO14" s="2" t="s">
        <v>57</v>
      </c>
      <c r="AP14" s="2" t="s">
        <v>71</v>
      </c>
      <c r="AQ14" s="2" t="s">
        <v>71</v>
      </c>
      <c r="AR14" s="2">
        <f t="shared" si="0"/>
        <v>18</v>
      </c>
      <c r="AS14" s="2">
        <f t="shared" si="1"/>
        <v>2</v>
      </c>
      <c r="AT14" s="2">
        <f t="shared" si="2"/>
        <v>1</v>
      </c>
      <c r="AU14" s="2">
        <f t="shared" si="3"/>
        <v>1</v>
      </c>
      <c r="AV14" s="2">
        <f t="shared" si="4"/>
        <v>4</v>
      </c>
      <c r="AW14" s="2">
        <f t="shared" si="5"/>
        <v>4</v>
      </c>
      <c r="AX14" s="2">
        <f t="shared" si="6"/>
        <v>23.5</v>
      </c>
      <c r="AY14" s="8">
        <v>16000</v>
      </c>
      <c r="AZ14" s="9">
        <f t="shared" si="7"/>
        <v>12533.333333333334</v>
      </c>
      <c r="BA14" s="2">
        <f t="shared" si="8"/>
        <v>2506.666666666667</v>
      </c>
      <c r="BB14" s="2">
        <f t="shared" si="9"/>
        <v>5013.3333333333339</v>
      </c>
      <c r="BC14" s="2">
        <f t="shared" si="10"/>
        <v>3916.6666666666665</v>
      </c>
      <c r="BD14" s="2" t="e">
        <f>VLOOKUP(A14,[1]Sheet3!$A$2:$D$52,4,0)</f>
        <v>#N/A</v>
      </c>
      <c r="BE14" s="2" t="e">
        <f t="shared" si="11"/>
        <v>#N/A</v>
      </c>
      <c r="BF14" s="2">
        <f t="shared" si="12"/>
        <v>1800</v>
      </c>
      <c r="BG14" s="2" t="e">
        <f t="shared" si="13"/>
        <v>#N/A</v>
      </c>
      <c r="BH14" s="2">
        <f t="shared" si="14"/>
        <v>550.5</v>
      </c>
      <c r="BI14" s="2">
        <f t="shared" si="15"/>
        <v>1249.5</v>
      </c>
      <c r="BJ14" s="2" t="e">
        <f t="shared" si="16"/>
        <v>#N/A</v>
      </c>
      <c r="BK14" s="2" t="e">
        <f t="shared" si="17"/>
        <v>#N/A</v>
      </c>
      <c r="BL14" s="2" t="e">
        <f t="shared" si="18"/>
        <v>#N/A</v>
      </c>
      <c r="BM14" s="2">
        <v>0</v>
      </c>
      <c r="BN14" s="2" t="e">
        <f t="shared" si="19"/>
        <v>#N/A</v>
      </c>
    </row>
    <row r="15" spans="1:66" x14ac:dyDescent="0.25">
      <c r="A15" s="2" t="s">
        <v>179</v>
      </c>
      <c r="B15" s="2" t="s">
        <v>180</v>
      </c>
      <c r="C15" s="2" t="s">
        <v>88</v>
      </c>
      <c r="D15" s="2" t="s">
        <v>46</v>
      </c>
      <c r="E15" s="2" t="s">
        <v>181</v>
      </c>
      <c r="F15" s="2" t="s">
        <v>182</v>
      </c>
      <c r="G15" s="2" t="s">
        <v>183</v>
      </c>
      <c r="H15" s="2" t="s">
        <v>184</v>
      </c>
      <c r="I15" s="2" t="s">
        <v>185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133</v>
      </c>
      <c r="O15" s="2" t="s">
        <v>56</v>
      </c>
      <c r="P15" s="2" t="s">
        <v>56</v>
      </c>
      <c r="Q15" s="2" t="s">
        <v>56</v>
      </c>
      <c r="R15" s="2" t="s">
        <v>56</v>
      </c>
      <c r="S15" s="2" t="s">
        <v>56</v>
      </c>
      <c r="T15" s="2" t="s">
        <v>57</v>
      </c>
      <c r="U15" s="2" t="s">
        <v>56</v>
      </c>
      <c r="V15" s="2" t="s">
        <v>56</v>
      </c>
      <c r="W15" s="2" t="s">
        <v>56</v>
      </c>
      <c r="X15" s="2" t="s">
        <v>56</v>
      </c>
      <c r="Y15" s="2" t="s">
        <v>71</v>
      </c>
      <c r="Z15" s="2" t="s">
        <v>58</v>
      </c>
      <c r="AA15" s="2" t="s">
        <v>57</v>
      </c>
      <c r="AB15" s="2" t="s">
        <v>56</v>
      </c>
      <c r="AC15" s="2" t="s">
        <v>56</v>
      </c>
      <c r="AD15" s="2" t="s">
        <v>56</v>
      </c>
      <c r="AE15" s="2" t="s">
        <v>58</v>
      </c>
      <c r="AF15" s="2" t="s">
        <v>56</v>
      </c>
      <c r="AG15" s="2" t="s">
        <v>56</v>
      </c>
      <c r="AH15" s="2" t="s">
        <v>57</v>
      </c>
      <c r="AI15" s="2" t="s">
        <v>56</v>
      </c>
      <c r="AJ15" s="2" t="s">
        <v>56</v>
      </c>
      <c r="AK15" s="2" t="s">
        <v>56</v>
      </c>
      <c r="AL15" s="2" t="s">
        <v>56</v>
      </c>
      <c r="AM15" s="2" t="s">
        <v>58</v>
      </c>
      <c r="AN15" s="2" t="s">
        <v>56</v>
      </c>
      <c r="AO15" s="2" t="s">
        <v>57</v>
      </c>
      <c r="AP15" s="2" t="s">
        <v>71</v>
      </c>
      <c r="AQ15" s="2" t="s">
        <v>56</v>
      </c>
      <c r="AR15" s="2">
        <f t="shared" si="0"/>
        <v>20</v>
      </c>
      <c r="AS15" s="2">
        <f t="shared" si="1"/>
        <v>3</v>
      </c>
      <c r="AT15" s="2">
        <f t="shared" si="2"/>
        <v>1</v>
      </c>
      <c r="AU15" s="2">
        <f t="shared" si="3"/>
        <v>0</v>
      </c>
      <c r="AV15" s="2">
        <f t="shared" si="4"/>
        <v>4</v>
      </c>
      <c r="AW15" s="2">
        <f t="shared" si="5"/>
        <v>2</v>
      </c>
      <c r="AX15" s="2">
        <f t="shared" si="6"/>
        <v>22.5</v>
      </c>
      <c r="AY15" s="8">
        <v>29000</v>
      </c>
      <c r="AZ15" s="9">
        <f t="shared" si="7"/>
        <v>21750</v>
      </c>
      <c r="BA15" s="2">
        <f t="shared" si="8"/>
        <v>4350</v>
      </c>
      <c r="BB15" s="2">
        <f t="shared" si="9"/>
        <v>8700</v>
      </c>
      <c r="BC15" s="2">
        <f t="shared" si="10"/>
        <v>3750</v>
      </c>
      <c r="BD15" s="2" t="e">
        <f>VLOOKUP(A15,[1]Sheet3!$A$2:$D$52,4,0)</f>
        <v>#N/A</v>
      </c>
      <c r="BE15" s="2" t="e">
        <f t="shared" si="11"/>
        <v>#N/A</v>
      </c>
      <c r="BF15" s="2">
        <f t="shared" si="12"/>
        <v>1800</v>
      </c>
      <c r="BG15" s="2" t="e">
        <f t="shared" si="13"/>
        <v>#N/A</v>
      </c>
      <c r="BH15" s="2">
        <f t="shared" si="14"/>
        <v>550.5</v>
      </c>
      <c r="BI15" s="2">
        <f t="shared" si="15"/>
        <v>1249.5</v>
      </c>
      <c r="BJ15" s="2" t="e">
        <f t="shared" si="16"/>
        <v>#N/A</v>
      </c>
      <c r="BK15" s="2" t="e">
        <f t="shared" si="17"/>
        <v>#N/A</v>
      </c>
      <c r="BL15" s="2" t="e">
        <f t="shared" si="18"/>
        <v>#N/A</v>
      </c>
      <c r="BM15" s="2">
        <v>0</v>
      </c>
      <c r="BN15" s="2" t="e">
        <f t="shared" si="19"/>
        <v>#N/A</v>
      </c>
    </row>
    <row r="16" spans="1:66" x14ac:dyDescent="0.25">
      <c r="A16" s="2" t="s">
        <v>190</v>
      </c>
      <c r="B16" s="2" t="s">
        <v>191</v>
      </c>
      <c r="C16" s="2" t="s">
        <v>45</v>
      </c>
      <c r="D16" s="2" t="s">
        <v>46</v>
      </c>
      <c r="E16" s="2" t="s">
        <v>192</v>
      </c>
      <c r="F16" s="2" t="s">
        <v>193</v>
      </c>
      <c r="G16" s="2" t="s">
        <v>194</v>
      </c>
      <c r="H16" s="2" t="s">
        <v>195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200</v>
      </c>
      <c r="N16" s="2" t="s">
        <v>71</v>
      </c>
      <c r="O16" s="2" t="s">
        <v>56</v>
      </c>
      <c r="P16" s="2" t="s">
        <v>56</v>
      </c>
      <c r="Q16" s="2" t="s">
        <v>56</v>
      </c>
      <c r="R16" s="2" t="s">
        <v>56</v>
      </c>
      <c r="S16" s="2" t="s">
        <v>56</v>
      </c>
      <c r="T16" s="2" t="s">
        <v>57</v>
      </c>
      <c r="U16" s="2" t="s">
        <v>56</v>
      </c>
      <c r="V16" s="2" t="s">
        <v>56</v>
      </c>
      <c r="W16" s="2" t="s">
        <v>56</v>
      </c>
      <c r="X16" s="2" t="s">
        <v>56</v>
      </c>
      <c r="Y16" s="2" t="s">
        <v>56</v>
      </c>
      <c r="Z16" s="2" t="s">
        <v>71</v>
      </c>
      <c r="AA16" s="2" t="s">
        <v>57</v>
      </c>
      <c r="AB16" s="2" t="s">
        <v>56</v>
      </c>
      <c r="AC16" s="2" t="s">
        <v>56</v>
      </c>
      <c r="AD16" s="2" t="s">
        <v>71</v>
      </c>
      <c r="AE16" s="2" t="s">
        <v>58</v>
      </c>
      <c r="AF16" s="2" t="s">
        <v>56</v>
      </c>
      <c r="AG16" s="2" t="s">
        <v>56</v>
      </c>
      <c r="AH16" s="2" t="s">
        <v>57</v>
      </c>
      <c r="AI16" s="2" t="s">
        <v>56</v>
      </c>
      <c r="AJ16" s="2" t="s">
        <v>56</v>
      </c>
      <c r="AK16" s="2" t="s">
        <v>71</v>
      </c>
      <c r="AL16" s="2" t="s">
        <v>71</v>
      </c>
      <c r="AM16" s="2" t="s">
        <v>56</v>
      </c>
      <c r="AN16" s="2" t="s">
        <v>56</v>
      </c>
      <c r="AO16" s="2" t="s">
        <v>57</v>
      </c>
      <c r="AP16" s="2" t="s">
        <v>56</v>
      </c>
      <c r="AQ16" s="2" t="s">
        <v>56</v>
      </c>
      <c r="AR16" s="2">
        <f t="shared" si="0"/>
        <v>20</v>
      </c>
      <c r="AS16" s="2">
        <f t="shared" si="1"/>
        <v>1</v>
      </c>
      <c r="AT16" s="2">
        <f t="shared" si="2"/>
        <v>0</v>
      </c>
      <c r="AU16" s="2">
        <f t="shared" si="3"/>
        <v>0</v>
      </c>
      <c r="AV16" s="2">
        <f t="shared" si="4"/>
        <v>4</v>
      </c>
      <c r="AW16" s="2">
        <f t="shared" si="5"/>
        <v>5</v>
      </c>
      <c r="AX16" s="2">
        <f t="shared" si="6"/>
        <v>25</v>
      </c>
      <c r="AY16" s="8">
        <v>14000</v>
      </c>
      <c r="AZ16" s="9">
        <f t="shared" si="7"/>
        <v>11666.666666666668</v>
      </c>
      <c r="BA16" s="2">
        <f t="shared" si="8"/>
        <v>2333.3333333333335</v>
      </c>
      <c r="BB16" s="2">
        <f t="shared" si="9"/>
        <v>4666.666666666667</v>
      </c>
      <c r="BC16" s="2">
        <f t="shared" si="10"/>
        <v>4166.6666666666661</v>
      </c>
      <c r="BD16" s="2" t="e">
        <f>VLOOKUP(A16,[1]Sheet3!$A$2:$D$52,4,0)</f>
        <v>#N/A</v>
      </c>
      <c r="BE16" s="2" t="e">
        <f t="shared" si="11"/>
        <v>#N/A</v>
      </c>
      <c r="BF16" s="2">
        <f t="shared" si="12"/>
        <v>1680.0000000000002</v>
      </c>
      <c r="BG16" s="2" t="e">
        <f t="shared" si="13"/>
        <v>#N/A</v>
      </c>
      <c r="BH16" s="2">
        <f t="shared" si="14"/>
        <v>513.80000000000007</v>
      </c>
      <c r="BI16" s="2">
        <f t="shared" si="15"/>
        <v>1166.2</v>
      </c>
      <c r="BJ16" s="2" t="e">
        <f t="shared" si="16"/>
        <v>#N/A</v>
      </c>
      <c r="BK16" s="2" t="e">
        <f t="shared" si="17"/>
        <v>#N/A</v>
      </c>
      <c r="BL16" s="2" t="e">
        <f t="shared" si="18"/>
        <v>#N/A</v>
      </c>
      <c r="BM16" s="2">
        <v>0</v>
      </c>
      <c r="BN16" s="2" t="e">
        <f t="shared" si="19"/>
        <v>#N/A</v>
      </c>
    </row>
    <row r="17" spans="1:66" x14ac:dyDescent="0.25">
      <c r="A17" s="2" t="s">
        <v>201</v>
      </c>
      <c r="B17" s="2" t="s">
        <v>202</v>
      </c>
      <c r="C17" s="2" t="s">
        <v>74</v>
      </c>
      <c r="D17" s="2" t="s">
        <v>75</v>
      </c>
      <c r="E17" s="2" t="s">
        <v>203</v>
      </c>
      <c r="F17" s="2" t="s">
        <v>204</v>
      </c>
      <c r="G17" s="2" t="s">
        <v>205</v>
      </c>
      <c r="H17" s="2" t="s">
        <v>206</v>
      </c>
      <c r="I17" s="2" t="s">
        <v>207</v>
      </c>
      <c r="J17" s="2" t="s">
        <v>208</v>
      </c>
      <c r="K17" s="2" t="s">
        <v>209</v>
      </c>
      <c r="L17" s="2" t="s">
        <v>210</v>
      </c>
      <c r="M17" s="2" t="s">
        <v>211</v>
      </c>
      <c r="N17" s="2" t="s">
        <v>56</v>
      </c>
      <c r="O17" s="2" t="s">
        <v>71</v>
      </c>
      <c r="P17" s="2" t="s">
        <v>56</v>
      </c>
      <c r="Q17" s="2" t="s">
        <v>56</v>
      </c>
      <c r="R17" s="2" t="s">
        <v>56</v>
      </c>
      <c r="S17" s="2" t="s">
        <v>56</v>
      </c>
      <c r="T17" s="2" t="s">
        <v>57</v>
      </c>
      <c r="U17" s="2" t="s">
        <v>56</v>
      </c>
      <c r="V17" s="2" t="s">
        <v>56</v>
      </c>
      <c r="W17" s="2" t="s">
        <v>56</v>
      </c>
      <c r="X17" s="2" t="s">
        <v>56</v>
      </c>
      <c r="Y17" s="2" t="s">
        <v>56</v>
      </c>
      <c r="Z17" s="2" t="s">
        <v>56</v>
      </c>
      <c r="AA17" s="2" t="s">
        <v>57</v>
      </c>
      <c r="AB17" s="2" t="s">
        <v>58</v>
      </c>
      <c r="AC17" s="2" t="s">
        <v>58</v>
      </c>
      <c r="AD17" s="2" t="s">
        <v>71</v>
      </c>
      <c r="AE17" s="2" t="s">
        <v>56</v>
      </c>
      <c r="AF17" s="2" t="s">
        <v>56</v>
      </c>
      <c r="AG17" s="2" t="s">
        <v>56</v>
      </c>
      <c r="AH17" s="2" t="s">
        <v>57</v>
      </c>
      <c r="AI17" s="2" t="s">
        <v>56</v>
      </c>
      <c r="AJ17" s="2" t="s">
        <v>71</v>
      </c>
      <c r="AK17" s="2" t="s">
        <v>71</v>
      </c>
      <c r="AL17" s="2" t="s">
        <v>56</v>
      </c>
      <c r="AM17" s="2" t="s">
        <v>56</v>
      </c>
      <c r="AN17" s="2" t="s">
        <v>56</v>
      </c>
      <c r="AO17" s="2" t="s">
        <v>57</v>
      </c>
      <c r="AP17" s="2" t="s">
        <v>56</v>
      </c>
      <c r="AQ17" s="2" t="s">
        <v>56</v>
      </c>
      <c r="AR17" s="2">
        <f t="shared" si="0"/>
        <v>20</v>
      </c>
      <c r="AS17" s="2">
        <f t="shared" si="1"/>
        <v>2</v>
      </c>
      <c r="AT17" s="2">
        <f t="shared" si="2"/>
        <v>0</v>
      </c>
      <c r="AU17" s="2">
        <f t="shared" si="3"/>
        <v>0</v>
      </c>
      <c r="AV17" s="2">
        <f t="shared" si="4"/>
        <v>4</v>
      </c>
      <c r="AW17" s="2">
        <f t="shared" si="5"/>
        <v>4</v>
      </c>
      <c r="AX17" s="2">
        <f t="shared" si="6"/>
        <v>24</v>
      </c>
      <c r="AY17" s="8">
        <v>13000</v>
      </c>
      <c r="AZ17" s="9">
        <f t="shared" si="7"/>
        <v>10400</v>
      </c>
      <c r="BA17" s="2">
        <f t="shared" si="8"/>
        <v>2080</v>
      </c>
      <c r="BB17" s="2">
        <f t="shared" si="9"/>
        <v>4160</v>
      </c>
      <c r="BC17" s="2">
        <f t="shared" si="10"/>
        <v>4000</v>
      </c>
      <c r="BD17" s="2" t="e">
        <f>VLOOKUP(A17,[1]Sheet3!$A$2:$D$52,4,0)</f>
        <v>#N/A</v>
      </c>
      <c r="BE17" s="2" t="e">
        <f t="shared" si="11"/>
        <v>#N/A</v>
      </c>
      <c r="BF17" s="2">
        <f t="shared" si="12"/>
        <v>1497.6</v>
      </c>
      <c r="BG17" s="2" t="e">
        <f t="shared" si="13"/>
        <v>#N/A</v>
      </c>
      <c r="BH17" s="2">
        <f t="shared" si="14"/>
        <v>458.01599999999996</v>
      </c>
      <c r="BI17" s="2">
        <f t="shared" si="15"/>
        <v>1039.5840000000001</v>
      </c>
      <c r="BJ17" s="2" t="e">
        <f t="shared" si="16"/>
        <v>#N/A</v>
      </c>
      <c r="BK17" s="2" t="e">
        <f t="shared" si="17"/>
        <v>#N/A</v>
      </c>
      <c r="BL17" s="2" t="e">
        <f t="shared" si="18"/>
        <v>#N/A</v>
      </c>
      <c r="BM17" s="2">
        <v>0</v>
      </c>
      <c r="BN17" s="2" t="e">
        <f t="shared" si="19"/>
        <v>#N/A</v>
      </c>
    </row>
    <row r="18" spans="1:66" x14ac:dyDescent="0.25">
      <c r="A18" s="2" t="s">
        <v>212</v>
      </c>
      <c r="B18" s="2" t="s">
        <v>213</v>
      </c>
      <c r="C18" s="2" t="s">
        <v>74</v>
      </c>
      <c r="D18" s="2" t="s">
        <v>75</v>
      </c>
      <c r="E18" s="2" t="s">
        <v>214</v>
      </c>
      <c r="F18" s="2" t="s">
        <v>215</v>
      </c>
      <c r="G18" s="2" t="s">
        <v>216</v>
      </c>
      <c r="H18" s="2" t="s">
        <v>217</v>
      </c>
      <c r="I18" s="2" t="s">
        <v>218</v>
      </c>
      <c r="J18" s="2" t="s">
        <v>219</v>
      </c>
      <c r="K18" s="2" t="s">
        <v>220</v>
      </c>
      <c r="L18" s="2" t="s">
        <v>221</v>
      </c>
      <c r="M18" s="2" t="s">
        <v>222</v>
      </c>
      <c r="N18" s="2" t="s">
        <v>133</v>
      </c>
      <c r="O18" s="2" t="s">
        <v>56</v>
      </c>
      <c r="P18" s="2" t="s">
        <v>71</v>
      </c>
      <c r="Q18" s="2" t="s">
        <v>56</v>
      </c>
      <c r="R18" s="2" t="s">
        <v>56</v>
      </c>
      <c r="S18" s="2" t="s">
        <v>56</v>
      </c>
      <c r="T18" s="2" t="s">
        <v>57</v>
      </c>
      <c r="U18" s="2" t="s">
        <v>56</v>
      </c>
      <c r="V18" s="2" t="s">
        <v>56</v>
      </c>
      <c r="W18" s="2" t="s">
        <v>56</v>
      </c>
      <c r="X18" s="2" t="s">
        <v>56</v>
      </c>
      <c r="Y18" s="2" t="s">
        <v>56</v>
      </c>
      <c r="Z18" s="2" t="s">
        <v>85</v>
      </c>
      <c r="AA18" s="2" t="s">
        <v>57</v>
      </c>
      <c r="AB18" s="2" t="s">
        <v>56</v>
      </c>
      <c r="AC18" s="2" t="s">
        <v>71</v>
      </c>
      <c r="AD18" s="2" t="s">
        <v>56</v>
      </c>
      <c r="AE18" s="2" t="s">
        <v>56</v>
      </c>
      <c r="AF18" s="2" t="s">
        <v>56</v>
      </c>
      <c r="AG18" s="2" t="s">
        <v>71</v>
      </c>
      <c r="AH18" s="2" t="s">
        <v>57</v>
      </c>
      <c r="AI18" s="2" t="s">
        <v>56</v>
      </c>
      <c r="AJ18" s="2" t="s">
        <v>71</v>
      </c>
      <c r="AK18" s="2" t="s">
        <v>71</v>
      </c>
      <c r="AL18" s="2" t="s">
        <v>56</v>
      </c>
      <c r="AM18" s="2" t="s">
        <v>56</v>
      </c>
      <c r="AN18" s="2" t="s">
        <v>56</v>
      </c>
      <c r="AO18" s="2" t="s">
        <v>57</v>
      </c>
      <c r="AP18" s="2" t="s">
        <v>71</v>
      </c>
      <c r="AQ18" s="2" t="s">
        <v>56</v>
      </c>
      <c r="AR18" s="2">
        <f t="shared" si="0"/>
        <v>18</v>
      </c>
      <c r="AS18" s="2">
        <f t="shared" si="1"/>
        <v>0</v>
      </c>
      <c r="AT18" s="2">
        <f t="shared" si="2"/>
        <v>1</v>
      </c>
      <c r="AU18" s="2">
        <f t="shared" si="3"/>
        <v>1</v>
      </c>
      <c r="AV18" s="2">
        <f t="shared" si="4"/>
        <v>4</v>
      </c>
      <c r="AW18" s="2">
        <f t="shared" si="5"/>
        <v>6</v>
      </c>
      <c r="AX18" s="2">
        <f t="shared" si="6"/>
        <v>25.5</v>
      </c>
      <c r="AY18" s="8">
        <v>12000</v>
      </c>
      <c r="AZ18" s="9">
        <f t="shared" si="7"/>
        <v>10200</v>
      </c>
      <c r="BA18" s="2">
        <f t="shared" si="8"/>
        <v>2040</v>
      </c>
      <c r="BB18" s="2">
        <f t="shared" si="9"/>
        <v>4080</v>
      </c>
      <c r="BC18" s="2">
        <f t="shared" si="10"/>
        <v>4250</v>
      </c>
      <c r="BD18" s="2" t="e">
        <f>VLOOKUP(A18,[1]Sheet3!$A$2:$D$52,4,0)</f>
        <v>#N/A</v>
      </c>
      <c r="BE18" s="2" t="e">
        <f t="shared" si="11"/>
        <v>#N/A</v>
      </c>
      <c r="BF18" s="2">
        <f t="shared" si="12"/>
        <v>1468.8</v>
      </c>
      <c r="BG18" s="2" t="e">
        <f t="shared" si="13"/>
        <v>#N/A</v>
      </c>
      <c r="BH18" s="2">
        <f t="shared" si="14"/>
        <v>449.20799999999997</v>
      </c>
      <c r="BI18" s="2">
        <f t="shared" si="15"/>
        <v>1019.592</v>
      </c>
      <c r="BJ18" s="2" t="e">
        <f t="shared" si="16"/>
        <v>#N/A</v>
      </c>
      <c r="BK18" s="2" t="e">
        <f t="shared" si="17"/>
        <v>#N/A</v>
      </c>
      <c r="BL18" s="2" t="e">
        <f t="shared" si="18"/>
        <v>#N/A</v>
      </c>
      <c r="BM18" s="2">
        <v>12000</v>
      </c>
      <c r="BN18" s="2" t="e">
        <f t="shared" si="19"/>
        <v>#N/A</v>
      </c>
    </row>
    <row r="19" spans="1:66" x14ac:dyDescent="0.25">
      <c r="A19" s="2" t="s">
        <v>223</v>
      </c>
      <c r="B19" s="2" t="s">
        <v>224</v>
      </c>
      <c r="C19" s="2" t="s">
        <v>225</v>
      </c>
      <c r="D19" s="2" t="s">
        <v>226</v>
      </c>
      <c r="E19" s="2" t="s">
        <v>227</v>
      </c>
      <c r="F19" s="2" t="s">
        <v>228</v>
      </c>
      <c r="G19" s="2" t="s">
        <v>229</v>
      </c>
      <c r="H19" s="2" t="s">
        <v>230</v>
      </c>
      <c r="I19" s="2" t="s">
        <v>231</v>
      </c>
      <c r="J19" s="2" t="s">
        <v>232</v>
      </c>
      <c r="K19" s="2" t="s">
        <v>233</v>
      </c>
      <c r="L19" s="2" t="s">
        <v>234</v>
      </c>
      <c r="M19" s="2" t="s">
        <v>235</v>
      </c>
      <c r="N19" s="2" t="s">
        <v>56</v>
      </c>
      <c r="O19" s="2" t="s">
        <v>56</v>
      </c>
      <c r="P19" s="2" t="s">
        <v>56</v>
      </c>
      <c r="Q19" s="2" t="s">
        <v>71</v>
      </c>
      <c r="R19" s="2" t="s">
        <v>71</v>
      </c>
      <c r="S19" s="2" t="s">
        <v>56</v>
      </c>
      <c r="T19" s="2" t="s">
        <v>57</v>
      </c>
      <c r="U19" s="2" t="s">
        <v>56</v>
      </c>
      <c r="V19" s="2" t="s">
        <v>56</v>
      </c>
      <c r="W19" s="2" t="s">
        <v>56</v>
      </c>
      <c r="X19" s="2" t="s">
        <v>56</v>
      </c>
      <c r="Y19" s="2" t="s">
        <v>56</v>
      </c>
      <c r="Z19" s="2" t="s">
        <v>56</v>
      </c>
      <c r="AA19" s="2" t="s">
        <v>57</v>
      </c>
      <c r="AB19" s="2" t="s">
        <v>56</v>
      </c>
      <c r="AC19" s="2" t="s">
        <v>85</v>
      </c>
      <c r="AD19" s="2" t="s">
        <v>56</v>
      </c>
      <c r="AE19" s="2" t="s">
        <v>58</v>
      </c>
      <c r="AF19" s="2" t="s">
        <v>71</v>
      </c>
      <c r="AG19" s="2" t="s">
        <v>56</v>
      </c>
      <c r="AH19" s="2" t="s">
        <v>57</v>
      </c>
      <c r="AI19" s="2" t="s">
        <v>56</v>
      </c>
      <c r="AJ19" s="2" t="s">
        <v>56</v>
      </c>
      <c r="AK19" s="2" t="s">
        <v>71</v>
      </c>
      <c r="AL19" s="2" t="s">
        <v>56</v>
      </c>
      <c r="AM19" s="2" t="s">
        <v>56</v>
      </c>
      <c r="AN19" s="2" t="s">
        <v>56</v>
      </c>
      <c r="AO19" s="2" t="s">
        <v>57</v>
      </c>
      <c r="AP19" s="2" t="s">
        <v>56</v>
      </c>
      <c r="AQ19" s="2" t="s">
        <v>56</v>
      </c>
      <c r="AR19" s="2">
        <f t="shared" si="0"/>
        <v>20</v>
      </c>
      <c r="AS19" s="2">
        <f t="shared" si="1"/>
        <v>1</v>
      </c>
      <c r="AT19" s="2">
        <f t="shared" si="2"/>
        <v>0</v>
      </c>
      <c r="AU19" s="2">
        <f t="shared" si="3"/>
        <v>1</v>
      </c>
      <c r="AV19" s="2">
        <f t="shared" si="4"/>
        <v>4</v>
      </c>
      <c r="AW19" s="2">
        <f t="shared" si="5"/>
        <v>4</v>
      </c>
      <c r="AX19" s="2">
        <f t="shared" si="6"/>
        <v>25</v>
      </c>
      <c r="AY19" s="8">
        <v>32654</v>
      </c>
      <c r="AZ19" s="9">
        <f t="shared" si="7"/>
        <v>27211.666666666668</v>
      </c>
      <c r="BA19" s="2">
        <f t="shared" si="8"/>
        <v>5442.3333333333339</v>
      </c>
      <c r="BB19" s="2">
        <f t="shared" si="9"/>
        <v>10884.666666666668</v>
      </c>
      <c r="BC19" s="2">
        <f t="shared" si="10"/>
        <v>4166.6666666666661</v>
      </c>
      <c r="BD19" s="2" t="e">
        <f>VLOOKUP(A19,[1]Sheet3!$A$2:$D$52,4,0)</f>
        <v>#N/A</v>
      </c>
      <c r="BE19" s="2" t="e">
        <f t="shared" si="11"/>
        <v>#N/A</v>
      </c>
      <c r="BF19" s="2">
        <f t="shared" si="12"/>
        <v>1800</v>
      </c>
      <c r="BG19" s="2" t="e">
        <f t="shared" si="13"/>
        <v>#N/A</v>
      </c>
      <c r="BH19" s="2">
        <f t="shared" si="14"/>
        <v>550.5</v>
      </c>
      <c r="BI19" s="2">
        <f t="shared" si="15"/>
        <v>1249.5</v>
      </c>
      <c r="BJ19" s="2" t="e">
        <f t="shared" si="16"/>
        <v>#N/A</v>
      </c>
      <c r="BK19" s="2" t="e">
        <f t="shared" si="17"/>
        <v>#N/A</v>
      </c>
      <c r="BL19" s="2" t="e">
        <f t="shared" si="18"/>
        <v>#N/A</v>
      </c>
      <c r="BM19" s="2">
        <v>0</v>
      </c>
      <c r="BN19" s="2" t="e">
        <f t="shared" si="19"/>
        <v>#N/A</v>
      </c>
    </row>
    <row r="20" spans="1:66" x14ac:dyDescent="0.25">
      <c r="A20" s="2" t="s">
        <v>236</v>
      </c>
      <c r="B20" s="2" t="s">
        <v>237</v>
      </c>
      <c r="C20" s="2" t="s">
        <v>238</v>
      </c>
      <c r="D20" s="2" t="s">
        <v>46</v>
      </c>
      <c r="E20" s="2" t="s">
        <v>239</v>
      </c>
      <c r="F20" s="2" t="s">
        <v>240</v>
      </c>
      <c r="G20" s="2" t="s">
        <v>241</v>
      </c>
      <c r="H20" s="2" t="s">
        <v>242</v>
      </c>
      <c r="I20" s="2" t="s">
        <v>243</v>
      </c>
      <c r="J20" s="2" t="s">
        <v>244</v>
      </c>
      <c r="K20" s="2" t="s">
        <v>245</v>
      </c>
      <c r="L20" s="2" t="s">
        <v>246</v>
      </c>
      <c r="M20" s="2" t="s">
        <v>247</v>
      </c>
      <c r="N20" s="2" t="s">
        <v>56</v>
      </c>
      <c r="O20" s="2" t="s">
        <v>56</v>
      </c>
      <c r="P20" s="2" t="s">
        <v>56</v>
      </c>
      <c r="Q20" s="2" t="s">
        <v>56</v>
      </c>
      <c r="R20" s="2" t="s">
        <v>71</v>
      </c>
      <c r="S20" s="2" t="s">
        <v>56</v>
      </c>
      <c r="T20" s="2" t="s">
        <v>57</v>
      </c>
      <c r="U20" s="2" t="s">
        <v>56</v>
      </c>
      <c r="V20" s="2" t="s">
        <v>56</v>
      </c>
      <c r="W20" s="2" t="s">
        <v>56</v>
      </c>
      <c r="X20" s="2" t="s">
        <v>56</v>
      </c>
      <c r="Y20" s="2" t="s">
        <v>56</v>
      </c>
      <c r="Z20" s="2" t="s">
        <v>56</v>
      </c>
      <c r="AA20" s="2" t="s">
        <v>57</v>
      </c>
      <c r="AB20" s="2" t="s">
        <v>56</v>
      </c>
      <c r="AC20" s="2" t="s">
        <v>71</v>
      </c>
      <c r="AD20" s="2" t="s">
        <v>58</v>
      </c>
      <c r="AE20" s="2" t="s">
        <v>56</v>
      </c>
      <c r="AF20" s="2" t="s">
        <v>56</v>
      </c>
      <c r="AG20" s="2" t="s">
        <v>56</v>
      </c>
      <c r="AH20" s="2" t="s">
        <v>57</v>
      </c>
      <c r="AI20" s="2" t="s">
        <v>56</v>
      </c>
      <c r="AJ20" s="2" t="s">
        <v>58</v>
      </c>
      <c r="AK20" s="2" t="s">
        <v>56</v>
      </c>
      <c r="AL20" s="2" t="s">
        <v>56</v>
      </c>
      <c r="AM20" s="2" t="s">
        <v>56</v>
      </c>
      <c r="AN20" s="2" t="s">
        <v>56</v>
      </c>
      <c r="AO20" s="2" t="s">
        <v>57</v>
      </c>
      <c r="AP20" s="2" t="s">
        <v>56</v>
      </c>
      <c r="AQ20" s="2" t="s">
        <v>56</v>
      </c>
      <c r="AR20" s="2">
        <f t="shared" si="0"/>
        <v>22</v>
      </c>
      <c r="AS20" s="2">
        <f t="shared" si="1"/>
        <v>2</v>
      </c>
      <c r="AT20" s="2">
        <f t="shared" si="2"/>
        <v>0</v>
      </c>
      <c r="AU20" s="2">
        <f t="shared" si="3"/>
        <v>0</v>
      </c>
      <c r="AV20" s="2">
        <f t="shared" si="4"/>
        <v>4</v>
      </c>
      <c r="AW20" s="2">
        <f t="shared" si="5"/>
        <v>2</v>
      </c>
      <c r="AX20" s="2">
        <f t="shared" si="6"/>
        <v>24</v>
      </c>
      <c r="AY20" s="8">
        <v>16000</v>
      </c>
      <c r="AZ20" s="9">
        <f t="shared" si="7"/>
        <v>12800</v>
      </c>
      <c r="BA20" s="2">
        <f t="shared" si="8"/>
        <v>2560</v>
      </c>
      <c r="BB20" s="2">
        <f t="shared" si="9"/>
        <v>5120</v>
      </c>
      <c r="BC20" s="2">
        <f t="shared" si="10"/>
        <v>4000</v>
      </c>
      <c r="BD20" s="2" t="e">
        <f>VLOOKUP(A20,[1]Sheet3!$A$2:$D$52,4,0)</f>
        <v>#N/A</v>
      </c>
      <c r="BE20" s="2" t="e">
        <f t="shared" si="11"/>
        <v>#N/A</v>
      </c>
      <c r="BF20" s="2">
        <f t="shared" si="12"/>
        <v>1800</v>
      </c>
      <c r="BG20" s="2" t="e">
        <f t="shared" si="13"/>
        <v>#N/A</v>
      </c>
      <c r="BH20" s="2">
        <f t="shared" si="14"/>
        <v>550.5</v>
      </c>
      <c r="BI20" s="2">
        <f t="shared" si="15"/>
        <v>1249.5</v>
      </c>
      <c r="BJ20" s="2" t="e">
        <f t="shared" si="16"/>
        <v>#N/A</v>
      </c>
      <c r="BK20" s="2" t="e">
        <f t="shared" si="17"/>
        <v>#N/A</v>
      </c>
      <c r="BL20" s="2" t="e">
        <f t="shared" si="18"/>
        <v>#N/A</v>
      </c>
      <c r="BM20" s="2">
        <v>0</v>
      </c>
      <c r="BN20" s="2" t="e">
        <f t="shared" si="19"/>
        <v>#N/A</v>
      </c>
    </row>
    <row r="21" spans="1:66" ht="15.75" customHeight="1" x14ac:dyDescent="0.25">
      <c r="A21" s="2" t="s">
        <v>248</v>
      </c>
      <c r="B21" s="2" t="s">
        <v>249</v>
      </c>
      <c r="C21" s="2" t="s">
        <v>61</v>
      </c>
      <c r="D21" s="2" t="s">
        <v>46</v>
      </c>
      <c r="E21" s="2" t="s">
        <v>250</v>
      </c>
      <c r="F21" s="2" t="s">
        <v>251</v>
      </c>
      <c r="G21" s="2" t="s">
        <v>252</v>
      </c>
      <c r="H21" s="2" t="s">
        <v>253</v>
      </c>
      <c r="I21" s="2" t="s">
        <v>254</v>
      </c>
      <c r="J21" s="2" t="s">
        <v>255</v>
      </c>
      <c r="K21" s="2" t="s">
        <v>256</v>
      </c>
      <c r="L21" s="2" t="s">
        <v>257</v>
      </c>
      <c r="M21" s="2" t="s">
        <v>258</v>
      </c>
      <c r="N21" s="2" t="s">
        <v>133</v>
      </c>
      <c r="O21" s="2" t="s">
        <v>56</v>
      </c>
      <c r="P21" s="2" t="s">
        <v>56</v>
      </c>
      <c r="Q21" s="2" t="s">
        <v>56</v>
      </c>
      <c r="R21" s="2" t="s">
        <v>56</v>
      </c>
      <c r="S21" s="2" t="s">
        <v>56</v>
      </c>
      <c r="T21" s="2" t="s">
        <v>57</v>
      </c>
      <c r="U21" s="2" t="s">
        <v>56</v>
      </c>
      <c r="V21" s="2" t="s">
        <v>56</v>
      </c>
      <c r="W21" s="2" t="s">
        <v>56</v>
      </c>
      <c r="X21" s="2" t="s">
        <v>56</v>
      </c>
      <c r="Y21" s="2" t="s">
        <v>56</v>
      </c>
      <c r="Z21" s="2" t="s">
        <v>56</v>
      </c>
      <c r="AA21" s="2" t="s">
        <v>57</v>
      </c>
      <c r="AB21" s="2" t="s">
        <v>71</v>
      </c>
      <c r="AC21" s="2" t="s">
        <v>56</v>
      </c>
      <c r="AD21" s="2" t="s">
        <v>56</v>
      </c>
      <c r="AE21" s="2" t="s">
        <v>56</v>
      </c>
      <c r="AF21" s="2" t="s">
        <v>56</v>
      </c>
      <c r="AG21" s="2" t="s">
        <v>56</v>
      </c>
      <c r="AH21" s="2" t="s">
        <v>57</v>
      </c>
      <c r="AI21" s="2" t="s">
        <v>56</v>
      </c>
      <c r="AJ21" s="2" t="s">
        <v>56</v>
      </c>
      <c r="AK21" s="2" t="s">
        <v>71</v>
      </c>
      <c r="AL21" s="2" t="s">
        <v>56</v>
      </c>
      <c r="AM21" s="2" t="s">
        <v>56</v>
      </c>
      <c r="AN21" s="2" t="s">
        <v>56</v>
      </c>
      <c r="AO21" s="2" t="s">
        <v>57</v>
      </c>
      <c r="AP21" s="2" t="s">
        <v>56</v>
      </c>
      <c r="AQ21" s="2" t="s">
        <v>56</v>
      </c>
      <c r="AR21" s="2">
        <f t="shared" si="0"/>
        <v>23</v>
      </c>
      <c r="AS21" s="2">
        <f t="shared" si="1"/>
        <v>0</v>
      </c>
      <c r="AT21" s="2">
        <f t="shared" si="2"/>
        <v>1</v>
      </c>
      <c r="AU21" s="2">
        <f t="shared" si="3"/>
        <v>0</v>
      </c>
      <c r="AV21" s="2">
        <f t="shared" si="4"/>
        <v>4</v>
      </c>
      <c r="AW21" s="2">
        <f t="shared" si="5"/>
        <v>2</v>
      </c>
      <c r="AX21" s="2">
        <f t="shared" si="6"/>
        <v>25.5</v>
      </c>
      <c r="AY21" s="8">
        <v>16000</v>
      </c>
      <c r="AZ21" s="9">
        <f t="shared" si="7"/>
        <v>13600.000000000002</v>
      </c>
      <c r="BA21" s="2">
        <f t="shared" si="8"/>
        <v>2720.0000000000005</v>
      </c>
      <c r="BB21" s="2">
        <f t="shared" si="9"/>
        <v>5440.0000000000009</v>
      </c>
      <c r="BC21" s="2">
        <f t="shared" si="10"/>
        <v>4250</v>
      </c>
      <c r="BD21" s="2" t="e">
        <f>VLOOKUP(A21,[1]Sheet3!$A$2:$D$52,4,0)</f>
        <v>#N/A</v>
      </c>
      <c r="BE21" s="2" t="e">
        <f t="shared" si="11"/>
        <v>#N/A</v>
      </c>
      <c r="BF21" s="2">
        <f t="shared" si="12"/>
        <v>1800</v>
      </c>
      <c r="BG21" s="2" t="e">
        <f t="shared" si="13"/>
        <v>#N/A</v>
      </c>
      <c r="BH21" s="2">
        <f t="shared" si="14"/>
        <v>550.5</v>
      </c>
      <c r="BI21" s="2">
        <f t="shared" si="15"/>
        <v>1249.5</v>
      </c>
      <c r="BJ21" s="2" t="e">
        <f t="shared" si="16"/>
        <v>#N/A</v>
      </c>
      <c r="BK21" s="2" t="e">
        <f t="shared" si="17"/>
        <v>#N/A</v>
      </c>
      <c r="BL21" s="2" t="e">
        <f t="shared" si="18"/>
        <v>#N/A</v>
      </c>
      <c r="BM21" s="2">
        <v>0</v>
      </c>
      <c r="BN21" s="2" t="e">
        <f t="shared" si="19"/>
        <v>#N/A</v>
      </c>
    </row>
    <row r="22" spans="1:66" ht="15.75" customHeight="1" x14ac:dyDescent="0.25">
      <c r="A22" s="2" t="s">
        <v>259</v>
      </c>
      <c r="B22" s="2" t="s">
        <v>260</v>
      </c>
      <c r="C22" s="2" t="s">
        <v>74</v>
      </c>
      <c r="D22" s="2" t="s">
        <v>261</v>
      </c>
      <c r="E22" s="2" t="s">
        <v>262</v>
      </c>
      <c r="F22" s="2" t="s">
        <v>263</v>
      </c>
      <c r="G22" s="2" t="s">
        <v>264</v>
      </c>
      <c r="H22" s="2" t="s">
        <v>265</v>
      </c>
      <c r="I22" s="2" t="s">
        <v>266</v>
      </c>
      <c r="J22" s="2" t="s">
        <v>267</v>
      </c>
      <c r="K22" s="2" t="s">
        <v>268</v>
      </c>
      <c r="L22" s="2" t="s">
        <v>269</v>
      </c>
      <c r="M22" s="2" t="s">
        <v>270</v>
      </c>
      <c r="N22" s="2" t="s">
        <v>56</v>
      </c>
      <c r="O22" s="2" t="s">
        <v>56</v>
      </c>
      <c r="P22" s="2" t="s">
        <v>56</v>
      </c>
      <c r="Q22" s="2" t="s">
        <v>56</v>
      </c>
      <c r="R22" s="2" t="s">
        <v>56</v>
      </c>
      <c r="S22" s="2" t="s">
        <v>56</v>
      </c>
      <c r="T22" s="2" t="s">
        <v>57</v>
      </c>
      <c r="U22" s="2" t="s">
        <v>56</v>
      </c>
      <c r="V22" s="2" t="s">
        <v>56</v>
      </c>
      <c r="W22" s="2" t="s">
        <v>56</v>
      </c>
      <c r="X22" s="2" t="s">
        <v>56</v>
      </c>
      <c r="Y22" s="2" t="s">
        <v>56</v>
      </c>
      <c r="Z22" s="2" t="s">
        <v>56</v>
      </c>
      <c r="AA22" s="2" t="s">
        <v>57</v>
      </c>
      <c r="AB22" s="2" t="s">
        <v>56</v>
      </c>
      <c r="AC22" s="2" t="s">
        <v>56</v>
      </c>
      <c r="AD22" s="2" t="s">
        <v>56</v>
      </c>
      <c r="AE22" s="2" t="s">
        <v>56</v>
      </c>
      <c r="AF22" s="2" t="s">
        <v>56</v>
      </c>
      <c r="AG22" s="2" t="s">
        <v>56</v>
      </c>
      <c r="AH22" s="2" t="s">
        <v>57</v>
      </c>
      <c r="AI22" s="2" t="s">
        <v>56</v>
      </c>
      <c r="AJ22" s="2" t="s">
        <v>56</v>
      </c>
      <c r="AK22" s="2" t="s">
        <v>56</v>
      </c>
      <c r="AL22" s="2" t="s">
        <v>56</v>
      </c>
      <c r="AM22" s="2" t="s">
        <v>56</v>
      </c>
      <c r="AN22" s="2" t="s">
        <v>56</v>
      </c>
      <c r="AO22" s="2" t="s">
        <v>57</v>
      </c>
      <c r="AP22" s="2" t="s">
        <v>56</v>
      </c>
      <c r="AQ22" s="2" t="s">
        <v>56</v>
      </c>
      <c r="AR22" s="2">
        <f t="shared" si="0"/>
        <v>26</v>
      </c>
      <c r="AS22" s="2">
        <f t="shared" si="1"/>
        <v>0</v>
      </c>
      <c r="AT22" s="2">
        <f t="shared" si="2"/>
        <v>0</v>
      </c>
      <c r="AU22" s="2">
        <f t="shared" si="3"/>
        <v>0</v>
      </c>
      <c r="AV22" s="2">
        <f t="shared" si="4"/>
        <v>4</v>
      </c>
      <c r="AW22" s="2">
        <f t="shared" si="5"/>
        <v>0</v>
      </c>
      <c r="AX22" s="2">
        <f t="shared" si="6"/>
        <v>26</v>
      </c>
      <c r="AY22" s="8">
        <v>16000</v>
      </c>
      <c r="AZ22" s="9">
        <f t="shared" si="7"/>
        <v>13866.666666666668</v>
      </c>
      <c r="BA22" s="2">
        <f t="shared" si="8"/>
        <v>2773.3333333333339</v>
      </c>
      <c r="BB22" s="2">
        <f t="shared" si="9"/>
        <v>5546.6666666666679</v>
      </c>
      <c r="BC22" s="2">
        <f t="shared" si="10"/>
        <v>4333.333333333333</v>
      </c>
      <c r="BD22" s="2" t="e">
        <f>VLOOKUP(A22,[1]Sheet3!$A$2:$D$52,4,0)</f>
        <v>#N/A</v>
      </c>
      <c r="BE22" s="2" t="e">
        <f t="shared" si="11"/>
        <v>#N/A</v>
      </c>
      <c r="BF22" s="2">
        <f t="shared" si="12"/>
        <v>1800</v>
      </c>
      <c r="BG22" s="2" t="e">
        <f t="shared" si="13"/>
        <v>#N/A</v>
      </c>
      <c r="BH22" s="2">
        <f t="shared" si="14"/>
        <v>550.5</v>
      </c>
      <c r="BI22" s="2">
        <f t="shared" si="15"/>
        <v>1249.5</v>
      </c>
      <c r="BJ22" s="2" t="e">
        <f t="shared" si="16"/>
        <v>#N/A</v>
      </c>
      <c r="BK22" s="2" t="e">
        <f t="shared" si="17"/>
        <v>#N/A</v>
      </c>
      <c r="BL22" s="2" t="e">
        <f t="shared" si="18"/>
        <v>#N/A</v>
      </c>
      <c r="BM22" s="2">
        <v>0</v>
      </c>
      <c r="BN22" s="2" t="e">
        <f t="shared" si="19"/>
        <v>#N/A</v>
      </c>
    </row>
    <row r="23" spans="1:66" ht="15.75" customHeight="1" x14ac:dyDescent="0.25">
      <c r="A23" s="2" t="s">
        <v>271</v>
      </c>
      <c r="B23" s="2" t="s">
        <v>272</v>
      </c>
      <c r="C23" s="2" t="s">
        <v>88</v>
      </c>
      <c r="D23" s="2" t="s">
        <v>158</v>
      </c>
      <c r="E23" s="2" t="s">
        <v>273</v>
      </c>
      <c r="F23" s="2" t="s">
        <v>274</v>
      </c>
      <c r="G23" s="2" t="s">
        <v>275</v>
      </c>
      <c r="H23" s="2" t="s">
        <v>276</v>
      </c>
      <c r="I23" s="2" t="s">
        <v>277</v>
      </c>
      <c r="J23" s="2" t="s">
        <v>278</v>
      </c>
      <c r="K23" s="2" t="s">
        <v>279</v>
      </c>
      <c r="L23" s="2" t="s">
        <v>280</v>
      </c>
      <c r="M23" s="2" t="s">
        <v>281</v>
      </c>
      <c r="N23" s="2" t="s">
        <v>56</v>
      </c>
      <c r="O23" s="2" t="s">
        <v>56</v>
      </c>
      <c r="P23" s="2" t="s">
        <v>56</v>
      </c>
      <c r="Q23" s="2" t="s">
        <v>56</v>
      </c>
      <c r="R23" s="2" t="s">
        <v>56</v>
      </c>
      <c r="S23" s="2" t="s">
        <v>56</v>
      </c>
      <c r="T23" s="2" t="s">
        <v>57</v>
      </c>
      <c r="U23" s="2" t="s">
        <v>56</v>
      </c>
      <c r="V23" s="2" t="s">
        <v>56</v>
      </c>
      <c r="W23" s="2" t="s">
        <v>56</v>
      </c>
      <c r="X23" s="2" t="s">
        <v>56</v>
      </c>
      <c r="Y23" s="2" t="s">
        <v>56</v>
      </c>
      <c r="Z23" s="2" t="s">
        <v>56</v>
      </c>
      <c r="AA23" s="2" t="s">
        <v>57</v>
      </c>
      <c r="AB23" s="2" t="s">
        <v>56</v>
      </c>
      <c r="AC23" s="2" t="s">
        <v>56</v>
      </c>
      <c r="AD23" s="2" t="s">
        <v>56</v>
      </c>
      <c r="AE23" s="2" t="s">
        <v>56</v>
      </c>
      <c r="AF23" s="2" t="s">
        <v>56</v>
      </c>
      <c r="AG23" s="2" t="s">
        <v>56</v>
      </c>
      <c r="AH23" s="2" t="s">
        <v>57</v>
      </c>
      <c r="AI23" s="2" t="s">
        <v>56</v>
      </c>
      <c r="AJ23" s="2" t="s">
        <v>56</v>
      </c>
      <c r="AK23" s="2" t="s">
        <v>56</v>
      </c>
      <c r="AL23" s="2" t="s">
        <v>58</v>
      </c>
      <c r="AM23" s="2" t="s">
        <v>56</v>
      </c>
      <c r="AN23" s="2" t="s">
        <v>56</v>
      </c>
      <c r="AO23" s="2" t="s">
        <v>57</v>
      </c>
      <c r="AP23" s="2" t="s">
        <v>56</v>
      </c>
      <c r="AQ23" s="2" t="s">
        <v>56</v>
      </c>
      <c r="AR23" s="2">
        <f t="shared" si="0"/>
        <v>25</v>
      </c>
      <c r="AS23" s="2">
        <f t="shared" si="1"/>
        <v>1</v>
      </c>
      <c r="AT23" s="2">
        <f t="shared" si="2"/>
        <v>0</v>
      </c>
      <c r="AU23" s="2">
        <f t="shared" si="3"/>
        <v>0</v>
      </c>
      <c r="AV23" s="2">
        <f t="shared" si="4"/>
        <v>4</v>
      </c>
      <c r="AW23" s="2">
        <f t="shared" si="5"/>
        <v>0</v>
      </c>
      <c r="AX23" s="2">
        <f t="shared" si="6"/>
        <v>25</v>
      </c>
      <c r="AY23" s="8">
        <v>18000</v>
      </c>
      <c r="AZ23" s="9">
        <f t="shared" si="7"/>
        <v>15000</v>
      </c>
      <c r="BA23" s="2">
        <f t="shared" si="8"/>
        <v>3000</v>
      </c>
      <c r="BB23" s="2">
        <f t="shared" si="9"/>
        <v>6000</v>
      </c>
      <c r="BC23" s="2">
        <f t="shared" si="10"/>
        <v>4166.6666666666661</v>
      </c>
      <c r="BD23" s="2" t="e">
        <f>VLOOKUP(A23,[1]Sheet3!$A$2:$D$52,4,0)</f>
        <v>#N/A</v>
      </c>
      <c r="BE23" s="2" t="e">
        <f t="shared" si="11"/>
        <v>#N/A</v>
      </c>
      <c r="BF23" s="2">
        <f t="shared" si="12"/>
        <v>1800</v>
      </c>
      <c r="BG23" s="2" t="e">
        <f t="shared" si="13"/>
        <v>#N/A</v>
      </c>
      <c r="BH23" s="2">
        <f t="shared" si="14"/>
        <v>550.5</v>
      </c>
      <c r="BI23" s="2">
        <f t="shared" si="15"/>
        <v>1249.5</v>
      </c>
      <c r="BJ23" s="2" t="e">
        <f t="shared" si="16"/>
        <v>#N/A</v>
      </c>
      <c r="BK23" s="2" t="e">
        <f t="shared" si="17"/>
        <v>#N/A</v>
      </c>
      <c r="BL23" s="2" t="e">
        <f t="shared" si="18"/>
        <v>#N/A</v>
      </c>
      <c r="BM23" s="2">
        <v>0</v>
      </c>
      <c r="BN23" s="2" t="e">
        <f t="shared" si="19"/>
        <v>#N/A</v>
      </c>
    </row>
    <row r="24" spans="1:66" ht="15.75" customHeight="1" x14ac:dyDescent="0.25">
      <c r="A24" s="2" t="s">
        <v>282</v>
      </c>
      <c r="B24" s="2" t="s">
        <v>283</v>
      </c>
      <c r="C24" s="2" t="s">
        <v>45</v>
      </c>
      <c r="D24" s="2" t="s">
        <v>284</v>
      </c>
      <c r="E24" s="2" t="s">
        <v>285</v>
      </c>
      <c r="F24" s="2" t="s">
        <v>286</v>
      </c>
      <c r="G24" s="2" t="s">
        <v>287</v>
      </c>
      <c r="H24" s="2" t="s">
        <v>288</v>
      </c>
      <c r="I24" s="2" t="s">
        <v>289</v>
      </c>
      <c r="J24" s="2" t="s">
        <v>290</v>
      </c>
      <c r="K24" s="2" t="s">
        <v>291</v>
      </c>
      <c r="L24" s="2" t="s">
        <v>292</v>
      </c>
      <c r="M24" s="2" t="s">
        <v>293</v>
      </c>
      <c r="N24" s="2" t="s">
        <v>56</v>
      </c>
      <c r="O24" s="2" t="s">
        <v>56</v>
      </c>
      <c r="P24" s="2" t="s">
        <v>56</v>
      </c>
      <c r="Q24" s="2" t="s">
        <v>56</v>
      </c>
      <c r="R24" s="2" t="s">
        <v>56</v>
      </c>
      <c r="S24" s="2" t="s">
        <v>56</v>
      </c>
      <c r="T24" s="2" t="s">
        <v>57</v>
      </c>
      <c r="U24" s="2" t="s">
        <v>56</v>
      </c>
      <c r="V24" s="2" t="s">
        <v>56</v>
      </c>
      <c r="W24" s="2" t="s">
        <v>56</v>
      </c>
      <c r="X24" s="2" t="s">
        <v>56</v>
      </c>
      <c r="Y24" s="2" t="s">
        <v>56</v>
      </c>
      <c r="Z24" s="2" t="s">
        <v>56</v>
      </c>
      <c r="AA24" s="2" t="s">
        <v>57</v>
      </c>
      <c r="AB24" s="2" t="s">
        <v>71</v>
      </c>
      <c r="AC24" s="2" t="s">
        <v>56</v>
      </c>
      <c r="AD24" s="2" t="s">
        <v>56</v>
      </c>
      <c r="AE24" s="2" t="s">
        <v>56</v>
      </c>
      <c r="AF24" s="2" t="s">
        <v>56</v>
      </c>
      <c r="AG24" s="2" t="s">
        <v>56</v>
      </c>
      <c r="AH24" s="2" t="s">
        <v>57</v>
      </c>
      <c r="AI24" s="2" t="s">
        <v>56</v>
      </c>
      <c r="AJ24" s="2" t="s">
        <v>56</v>
      </c>
      <c r="AK24" s="2" t="s">
        <v>56</v>
      </c>
      <c r="AL24" s="2" t="s">
        <v>56</v>
      </c>
      <c r="AM24" s="2" t="s">
        <v>56</v>
      </c>
      <c r="AN24" s="2" t="s">
        <v>58</v>
      </c>
      <c r="AO24" s="2" t="s">
        <v>57</v>
      </c>
      <c r="AP24" s="2" t="s">
        <v>56</v>
      </c>
      <c r="AQ24" s="2" t="s">
        <v>56</v>
      </c>
      <c r="AR24" s="2">
        <f t="shared" si="0"/>
        <v>24</v>
      </c>
      <c r="AS24" s="2">
        <f t="shared" si="1"/>
        <v>1</v>
      </c>
      <c r="AT24" s="2">
        <f t="shared" si="2"/>
        <v>0</v>
      </c>
      <c r="AU24" s="2">
        <f t="shared" si="3"/>
        <v>0</v>
      </c>
      <c r="AV24" s="2">
        <f t="shared" si="4"/>
        <v>4</v>
      </c>
      <c r="AW24" s="2">
        <f t="shared" si="5"/>
        <v>1</v>
      </c>
      <c r="AX24" s="2">
        <f t="shared" si="6"/>
        <v>25</v>
      </c>
      <c r="AY24" s="8">
        <v>15000</v>
      </c>
      <c r="AZ24" s="9">
        <f t="shared" si="7"/>
        <v>12500</v>
      </c>
      <c r="BA24" s="2">
        <f t="shared" si="8"/>
        <v>2500</v>
      </c>
      <c r="BB24" s="2">
        <f t="shared" si="9"/>
        <v>5000</v>
      </c>
      <c r="BC24" s="2">
        <f t="shared" si="10"/>
        <v>4166.6666666666661</v>
      </c>
      <c r="BD24" s="2" t="e">
        <f>VLOOKUP(A24,[1]Sheet3!$A$2:$D$52,4,0)</f>
        <v>#N/A</v>
      </c>
      <c r="BE24" s="2" t="e">
        <f t="shared" si="11"/>
        <v>#N/A</v>
      </c>
      <c r="BF24" s="2">
        <f t="shared" si="12"/>
        <v>1800</v>
      </c>
      <c r="BG24" s="2" t="e">
        <f t="shared" si="13"/>
        <v>#N/A</v>
      </c>
      <c r="BH24" s="2">
        <f t="shared" si="14"/>
        <v>550.5</v>
      </c>
      <c r="BI24" s="2">
        <f t="shared" si="15"/>
        <v>1249.5</v>
      </c>
      <c r="BJ24" s="2" t="e">
        <f t="shared" si="16"/>
        <v>#N/A</v>
      </c>
      <c r="BK24" s="2" t="e">
        <f t="shared" si="17"/>
        <v>#N/A</v>
      </c>
      <c r="BL24" s="2" t="e">
        <f t="shared" si="18"/>
        <v>#N/A</v>
      </c>
      <c r="BM24" s="2">
        <v>0</v>
      </c>
      <c r="BN24" s="2" t="e">
        <f t="shared" si="19"/>
        <v>#N/A</v>
      </c>
    </row>
    <row r="25" spans="1:66" ht="15.75" customHeight="1" x14ac:dyDescent="0.25">
      <c r="A25" s="2" t="s">
        <v>294</v>
      </c>
      <c r="B25" s="2" t="s">
        <v>295</v>
      </c>
      <c r="C25" s="2" t="s">
        <v>88</v>
      </c>
      <c r="D25" s="2" t="s">
        <v>75</v>
      </c>
      <c r="E25" s="2" t="s">
        <v>296</v>
      </c>
      <c r="F25" s="2" t="s">
        <v>297</v>
      </c>
      <c r="G25" s="2" t="s">
        <v>298</v>
      </c>
      <c r="H25" s="2" t="s">
        <v>299</v>
      </c>
      <c r="I25" s="2" t="s">
        <v>300</v>
      </c>
      <c r="J25" s="2" t="s">
        <v>301</v>
      </c>
      <c r="K25" s="2" t="s">
        <v>302</v>
      </c>
      <c r="L25" s="2" t="s">
        <v>303</v>
      </c>
      <c r="M25" s="2" t="s">
        <v>304</v>
      </c>
      <c r="N25" s="2" t="s">
        <v>133</v>
      </c>
      <c r="O25" s="2" t="s">
        <v>56</v>
      </c>
      <c r="P25" s="2" t="s">
        <v>56</v>
      </c>
      <c r="Q25" s="2" t="s">
        <v>56</v>
      </c>
      <c r="R25" s="2" t="s">
        <v>71</v>
      </c>
      <c r="S25" s="2" t="s">
        <v>71</v>
      </c>
      <c r="T25" s="2" t="s">
        <v>57</v>
      </c>
      <c r="U25" s="2" t="s">
        <v>56</v>
      </c>
      <c r="V25" s="2" t="s">
        <v>56</v>
      </c>
      <c r="W25" s="2" t="s">
        <v>56</v>
      </c>
      <c r="X25" s="2" t="s">
        <v>56</v>
      </c>
      <c r="Y25" s="2" t="s">
        <v>56</v>
      </c>
      <c r="Z25" s="2" t="s">
        <v>56</v>
      </c>
      <c r="AA25" s="2" t="s">
        <v>57</v>
      </c>
      <c r="AB25" s="2" t="s">
        <v>71</v>
      </c>
      <c r="AC25" s="2" t="s">
        <v>56</v>
      </c>
      <c r="AD25" s="2" t="s">
        <v>56</v>
      </c>
      <c r="AE25" s="2" t="s">
        <v>56</v>
      </c>
      <c r="AF25" s="2" t="s">
        <v>56</v>
      </c>
      <c r="AG25" s="2" t="s">
        <v>56</v>
      </c>
      <c r="AH25" s="2" t="s">
        <v>57</v>
      </c>
      <c r="AI25" s="2" t="s">
        <v>56</v>
      </c>
      <c r="AJ25" s="2" t="s">
        <v>56</v>
      </c>
      <c r="AK25" s="2" t="s">
        <v>71</v>
      </c>
      <c r="AL25" s="2" t="s">
        <v>56</v>
      </c>
      <c r="AM25" s="2" t="s">
        <v>56</v>
      </c>
      <c r="AN25" s="2" t="s">
        <v>56</v>
      </c>
      <c r="AO25" s="2" t="s">
        <v>57</v>
      </c>
      <c r="AP25" s="2" t="s">
        <v>56</v>
      </c>
      <c r="AQ25" s="2" t="s">
        <v>56</v>
      </c>
      <c r="AR25" s="2">
        <f t="shared" si="0"/>
        <v>21</v>
      </c>
      <c r="AS25" s="2">
        <f t="shared" si="1"/>
        <v>0</v>
      </c>
      <c r="AT25" s="2">
        <f t="shared" si="2"/>
        <v>1</v>
      </c>
      <c r="AU25" s="2">
        <f t="shared" si="3"/>
        <v>0</v>
      </c>
      <c r="AV25" s="2">
        <f t="shared" si="4"/>
        <v>4</v>
      </c>
      <c r="AW25" s="2">
        <f t="shared" si="5"/>
        <v>4</v>
      </c>
      <c r="AX25" s="2">
        <f t="shared" si="6"/>
        <v>25.5</v>
      </c>
      <c r="AY25" s="8">
        <v>11000</v>
      </c>
      <c r="AZ25" s="9">
        <f t="shared" si="7"/>
        <v>9350</v>
      </c>
      <c r="BA25" s="2">
        <f t="shared" si="8"/>
        <v>1870</v>
      </c>
      <c r="BB25" s="2">
        <f t="shared" si="9"/>
        <v>3740</v>
      </c>
      <c r="BC25" s="2">
        <f t="shared" si="10"/>
        <v>4250</v>
      </c>
      <c r="BD25" s="2" t="e">
        <f>VLOOKUP(A25,[1]Sheet3!$A$2:$D$52,4,0)</f>
        <v>#N/A</v>
      </c>
      <c r="BE25" s="2" t="e">
        <f t="shared" si="11"/>
        <v>#N/A</v>
      </c>
      <c r="BF25" s="2">
        <f t="shared" si="12"/>
        <v>1346.3999999999999</v>
      </c>
      <c r="BG25" s="2" t="e">
        <f t="shared" si="13"/>
        <v>#N/A</v>
      </c>
      <c r="BH25" s="2">
        <f t="shared" si="14"/>
        <v>411.77399999999994</v>
      </c>
      <c r="BI25" s="2">
        <f t="shared" si="15"/>
        <v>934.62599999999998</v>
      </c>
      <c r="BJ25" s="2" t="e">
        <f t="shared" si="16"/>
        <v>#N/A</v>
      </c>
      <c r="BK25" s="2" t="e">
        <f t="shared" si="17"/>
        <v>#N/A</v>
      </c>
      <c r="BL25" s="2" t="e">
        <f t="shared" si="18"/>
        <v>#N/A</v>
      </c>
      <c r="BM25" s="2">
        <v>0</v>
      </c>
      <c r="BN25" s="2" t="e">
        <f t="shared" si="19"/>
        <v>#N/A</v>
      </c>
    </row>
    <row r="26" spans="1:66" ht="15.75" customHeight="1" x14ac:dyDescent="0.25">
      <c r="A26" s="2" t="s">
        <v>305</v>
      </c>
      <c r="B26" s="2" t="s">
        <v>306</v>
      </c>
      <c r="C26" s="2" t="s">
        <v>238</v>
      </c>
      <c r="D26" s="2" t="s">
        <v>75</v>
      </c>
      <c r="E26" s="2" t="s">
        <v>307</v>
      </c>
      <c r="F26" s="2" t="s">
        <v>308</v>
      </c>
      <c r="G26" s="2" t="s">
        <v>309</v>
      </c>
      <c r="H26" s="2" t="s">
        <v>310</v>
      </c>
      <c r="I26" s="2" t="s">
        <v>311</v>
      </c>
      <c r="J26" s="2" t="s">
        <v>312</v>
      </c>
      <c r="K26" s="2" t="s">
        <v>313</v>
      </c>
      <c r="L26" s="2" t="s">
        <v>314</v>
      </c>
      <c r="M26" s="2" t="s">
        <v>315</v>
      </c>
      <c r="N26" s="2" t="s">
        <v>56</v>
      </c>
      <c r="O26" s="2" t="s">
        <v>56</v>
      </c>
      <c r="P26" s="2" t="s">
        <v>56</v>
      </c>
      <c r="Q26" s="2" t="s">
        <v>56</v>
      </c>
      <c r="R26" s="2" t="s">
        <v>71</v>
      </c>
      <c r="S26" s="2" t="s">
        <v>71</v>
      </c>
      <c r="T26" s="2" t="s">
        <v>57</v>
      </c>
      <c r="U26" s="2" t="s">
        <v>56</v>
      </c>
      <c r="V26" s="2" t="s">
        <v>56</v>
      </c>
      <c r="W26" s="2" t="s">
        <v>56</v>
      </c>
      <c r="X26" s="2" t="s">
        <v>56</v>
      </c>
      <c r="Y26" s="2" t="s">
        <v>56</v>
      </c>
      <c r="Z26" s="2" t="s">
        <v>71</v>
      </c>
      <c r="AA26" s="2" t="s">
        <v>57</v>
      </c>
      <c r="AB26" s="2" t="s">
        <v>56</v>
      </c>
      <c r="AC26" s="2" t="s">
        <v>56</v>
      </c>
      <c r="AD26" s="2" t="s">
        <v>56</v>
      </c>
      <c r="AE26" s="2" t="s">
        <v>56</v>
      </c>
      <c r="AF26" s="2" t="s">
        <v>56</v>
      </c>
      <c r="AG26" s="2" t="s">
        <v>56</v>
      </c>
      <c r="AH26" s="2" t="s">
        <v>57</v>
      </c>
      <c r="AI26" s="2" t="s">
        <v>56</v>
      </c>
      <c r="AJ26" s="2" t="s">
        <v>56</v>
      </c>
      <c r="AK26" s="2" t="s">
        <v>56</v>
      </c>
      <c r="AL26" s="2" t="s">
        <v>56</v>
      </c>
      <c r="AM26" s="2" t="s">
        <v>56</v>
      </c>
      <c r="AN26" s="2" t="s">
        <v>56</v>
      </c>
      <c r="AO26" s="2" t="s">
        <v>57</v>
      </c>
      <c r="AP26" s="2" t="s">
        <v>58</v>
      </c>
      <c r="AQ26" s="2" t="s">
        <v>56</v>
      </c>
      <c r="AR26" s="2">
        <f t="shared" si="0"/>
        <v>22</v>
      </c>
      <c r="AS26" s="2">
        <f t="shared" si="1"/>
        <v>1</v>
      </c>
      <c r="AT26" s="2">
        <f t="shared" si="2"/>
        <v>0</v>
      </c>
      <c r="AU26" s="2">
        <f t="shared" si="3"/>
        <v>0</v>
      </c>
      <c r="AV26" s="2">
        <f t="shared" si="4"/>
        <v>4</v>
      </c>
      <c r="AW26" s="2">
        <f t="shared" si="5"/>
        <v>3</v>
      </c>
      <c r="AX26" s="2">
        <f t="shared" si="6"/>
        <v>25</v>
      </c>
      <c r="AY26" s="8">
        <v>14000</v>
      </c>
      <c r="AZ26" s="9">
        <f t="shared" si="7"/>
        <v>11666.666666666668</v>
      </c>
      <c r="BA26" s="2">
        <f t="shared" si="8"/>
        <v>2333.3333333333335</v>
      </c>
      <c r="BB26" s="2">
        <f t="shared" si="9"/>
        <v>4666.666666666667</v>
      </c>
      <c r="BC26" s="2">
        <f t="shared" si="10"/>
        <v>4166.6666666666661</v>
      </c>
      <c r="BD26" s="2" t="e">
        <f>VLOOKUP(A26,[1]Sheet3!$A$2:$D$52,4,0)</f>
        <v>#N/A</v>
      </c>
      <c r="BE26" s="2" t="e">
        <f t="shared" si="11"/>
        <v>#N/A</v>
      </c>
      <c r="BF26" s="2">
        <f t="shared" si="12"/>
        <v>1680.0000000000002</v>
      </c>
      <c r="BG26" s="2" t="e">
        <f t="shared" si="13"/>
        <v>#N/A</v>
      </c>
      <c r="BH26" s="2">
        <f t="shared" si="14"/>
        <v>513.80000000000007</v>
      </c>
      <c r="BI26" s="2">
        <f t="shared" si="15"/>
        <v>1166.2</v>
      </c>
      <c r="BJ26" s="2" t="e">
        <f t="shared" si="16"/>
        <v>#N/A</v>
      </c>
      <c r="BK26" s="2" t="e">
        <f t="shared" si="17"/>
        <v>#N/A</v>
      </c>
      <c r="BL26" s="2" t="e">
        <f t="shared" si="18"/>
        <v>#N/A</v>
      </c>
      <c r="BM26" s="2">
        <v>0</v>
      </c>
      <c r="BN26" s="2" t="e">
        <f t="shared" si="19"/>
        <v>#N/A</v>
      </c>
    </row>
    <row r="27" spans="1:66" ht="15.75" customHeight="1" x14ac:dyDescent="0.25">
      <c r="A27" s="2" t="s">
        <v>316</v>
      </c>
      <c r="B27" s="2" t="s">
        <v>317</v>
      </c>
      <c r="C27" s="2" t="s">
        <v>45</v>
      </c>
      <c r="D27" s="2" t="s">
        <v>89</v>
      </c>
      <c r="E27" s="2" t="s">
        <v>318</v>
      </c>
      <c r="F27" s="2" t="s">
        <v>319</v>
      </c>
      <c r="G27" s="2" t="s">
        <v>320</v>
      </c>
      <c r="H27" s="2" t="s">
        <v>321</v>
      </c>
      <c r="I27" s="2" t="s">
        <v>322</v>
      </c>
      <c r="J27" s="2" t="s">
        <v>323</v>
      </c>
      <c r="K27" s="2" t="s">
        <v>324</v>
      </c>
      <c r="L27" s="2" t="s">
        <v>325</v>
      </c>
      <c r="M27" s="2" t="s">
        <v>326</v>
      </c>
      <c r="N27" s="2" t="s">
        <v>56</v>
      </c>
      <c r="O27" s="2" t="s">
        <v>56</v>
      </c>
      <c r="P27" s="2" t="s">
        <v>56</v>
      </c>
      <c r="Q27" s="2" t="s">
        <v>56</v>
      </c>
      <c r="R27" s="2" t="s">
        <v>71</v>
      </c>
      <c r="S27" s="2" t="s">
        <v>71</v>
      </c>
      <c r="T27" s="2" t="s">
        <v>57</v>
      </c>
      <c r="U27" s="2" t="s">
        <v>56</v>
      </c>
      <c r="V27" s="2" t="s">
        <v>56</v>
      </c>
      <c r="W27" s="2" t="s">
        <v>56</v>
      </c>
      <c r="X27" s="2" t="s">
        <v>56</v>
      </c>
      <c r="Y27" s="2" t="s">
        <v>71</v>
      </c>
      <c r="Z27" s="2" t="s">
        <v>56</v>
      </c>
      <c r="AA27" s="2" t="s">
        <v>57</v>
      </c>
      <c r="AB27" s="2" t="s">
        <v>56</v>
      </c>
      <c r="AC27" s="2" t="s">
        <v>56</v>
      </c>
      <c r="AD27" s="2" t="s">
        <v>56</v>
      </c>
      <c r="AE27" s="2" t="s">
        <v>56</v>
      </c>
      <c r="AF27" s="2" t="s">
        <v>56</v>
      </c>
      <c r="AG27" s="2" t="s">
        <v>56</v>
      </c>
      <c r="AH27" s="2" t="s">
        <v>57</v>
      </c>
      <c r="AI27" s="2" t="s">
        <v>56</v>
      </c>
      <c r="AJ27" s="2" t="s">
        <v>56</v>
      </c>
      <c r="AK27" s="2" t="s">
        <v>56</v>
      </c>
      <c r="AL27" s="2"/>
      <c r="AM27" s="2" t="s">
        <v>56</v>
      </c>
      <c r="AN27" s="2" t="s">
        <v>58</v>
      </c>
      <c r="AO27" s="2" t="s">
        <v>57</v>
      </c>
      <c r="AP27" s="2" t="s">
        <v>56</v>
      </c>
      <c r="AQ27" s="2" t="s">
        <v>56</v>
      </c>
      <c r="AR27" s="2">
        <f t="shared" si="0"/>
        <v>21</v>
      </c>
      <c r="AS27" s="2">
        <f t="shared" si="1"/>
        <v>1</v>
      </c>
      <c r="AT27" s="2">
        <f t="shared" si="2"/>
        <v>0</v>
      </c>
      <c r="AU27" s="2">
        <f t="shared" si="3"/>
        <v>0</v>
      </c>
      <c r="AV27" s="2">
        <f t="shared" si="4"/>
        <v>4</v>
      </c>
      <c r="AW27" s="2">
        <f t="shared" si="5"/>
        <v>3</v>
      </c>
      <c r="AX27" s="2">
        <f t="shared" si="6"/>
        <v>24</v>
      </c>
      <c r="AY27" s="8">
        <v>19000</v>
      </c>
      <c r="AZ27" s="9">
        <f t="shared" si="7"/>
        <v>15200</v>
      </c>
      <c r="BA27" s="2">
        <f t="shared" si="8"/>
        <v>3040</v>
      </c>
      <c r="BB27" s="2">
        <f t="shared" si="9"/>
        <v>6080</v>
      </c>
      <c r="BC27" s="2">
        <f t="shared" si="10"/>
        <v>4000</v>
      </c>
      <c r="BD27" s="2" t="e">
        <f>VLOOKUP(A27,[1]Sheet3!$A$2:$D$52,4,0)</f>
        <v>#N/A</v>
      </c>
      <c r="BE27" s="2" t="e">
        <f t="shared" si="11"/>
        <v>#N/A</v>
      </c>
      <c r="BF27" s="2">
        <f t="shared" si="12"/>
        <v>1800</v>
      </c>
      <c r="BG27" s="2" t="e">
        <f t="shared" si="13"/>
        <v>#N/A</v>
      </c>
      <c r="BH27" s="2">
        <f t="shared" si="14"/>
        <v>550.5</v>
      </c>
      <c r="BI27" s="2">
        <f t="shared" si="15"/>
        <v>1249.5</v>
      </c>
      <c r="BJ27" s="2" t="e">
        <f t="shared" si="16"/>
        <v>#N/A</v>
      </c>
      <c r="BK27" s="2" t="e">
        <f t="shared" si="17"/>
        <v>#N/A</v>
      </c>
      <c r="BL27" s="2" t="e">
        <f t="shared" si="18"/>
        <v>#N/A</v>
      </c>
      <c r="BM27" s="2">
        <v>0</v>
      </c>
      <c r="BN27" s="2" t="e">
        <f t="shared" si="19"/>
        <v>#N/A</v>
      </c>
    </row>
    <row r="28" spans="1:66" ht="15.75" customHeight="1" x14ac:dyDescent="0.25">
      <c r="A28" s="2" t="s">
        <v>327</v>
      </c>
      <c r="B28" s="2" t="s">
        <v>328</v>
      </c>
      <c r="C28" s="2" t="s">
        <v>101</v>
      </c>
      <c r="D28" s="2" t="s">
        <v>158</v>
      </c>
      <c r="E28" s="2" t="s">
        <v>329</v>
      </c>
      <c r="F28" s="2" t="s">
        <v>330</v>
      </c>
      <c r="G28" s="2" t="s">
        <v>331</v>
      </c>
      <c r="H28" s="2" t="s">
        <v>332</v>
      </c>
      <c r="I28" s="2" t="s">
        <v>333</v>
      </c>
      <c r="J28" s="2" t="s">
        <v>334</v>
      </c>
      <c r="K28" s="2" t="s">
        <v>335</v>
      </c>
      <c r="L28" s="2" t="s">
        <v>336</v>
      </c>
      <c r="M28" s="2" t="s">
        <v>337</v>
      </c>
      <c r="N28" s="2" t="s">
        <v>133</v>
      </c>
      <c r="O28" s="2" t="s">
        <v>56</v>
      </c>
      <c r="P28" s="2" t="s">
        <v>56</v>
      </c>
      <c r="Q28" s="2" t="s">
        <v>56</v>
      </c>
      <c r="R28" s="2" t="s">
        <v>71</v>
      </c>
      <c r="S28" s="2" t="s">
        <v>56</v>
      </c>
      <c r="T28" s="2" t="s">
        <v>57</v>
      </c>
      <c r="U28" s="2" t="s">
        <v>56</v>
      </c>
      <c r="V28" s="2" t="s">
        <v>56</v>
      </c>
      <c r="W28" s="2" t="s">
        <v>56</v>
      </c>
      <c r="X28" s="2" t="s">
        <v>56</v>
      </c>
      <c r="Y28" s="2" t="s">
        <v>56</v>
      </c>
      <c r="Z28" s="2" t="s">
        <v>56</v>
      </c>
      <c r="AA28" s="2" t="s">
        <v>57</v>
      </c>
      <c r="AB28" s="2" t="s">
        <v>56</v>
      </c>
      <c r="AC28" s="2" t="s">
        <v>56</v>
      </c>
      <c r="AD28" s="2" t="s">
        <v>56</v>
      </c>
      <c r="AE28" s="2" t="s">
        <v>56</v>
      </c>
      <c r="AF28" s="2" t="s">
        <v>56</v>
      </c>
      <c r="AG28" s="2" t="s">
        <v>56</v>
      </c>
      <c r="AH28" s="2" t="s">
        <v>57</v>
      </c>
      <c r="AI28" s="2" t="s">
        <v>56</v>
      </c>
      <c r="AJ28" s="2" t="s">
        <v>56</v>
      </c>
      <c r="AK28" s="2" t="s">
        <v>71</v>
      </c>
      <c r="AL28" s="2" t="s">
        <v>56</v>
      </c>
      <c r="AM28" s="2" t="s">
        <v>58</v>
      </c>
      <c r="AN28" s="2" t="s">
        <v>56</v>
      </c>
      <c r="AO28" s="2" t="s">
        <v>57</v>
      </c>
      <c r="AP28" s="2" t="s">
        <v>56</v>
      </c>
      <c r="AQ28" s="2" t="s">
        <v>56</v>
      </c>
      <c r="AR28" s="2">
        <f t="shared" si="0"/>
        <v>22</v>
      </c>
      <c r="AS28" s="2">
        <f t="shared" si="1"/>
        <v>1</v>
      </c>
      <c r="AT28" s="2">
        <f t="shared" si="2"/>
        <v>1</v>
      </c>
      <c r="AU28" s="2">
        <f t="shared" si="3"/>
        <v>0</v>
      </c>
      <c r="AV28" s="2">
        <f t="shared" si="4"/>
        <v>4</v>
      </c>
      <c r="AW28" s="2">
        <f t="shared" si="5"/>
        <v>2</v>
      </c>
      <c r="AX28" s="2">
        <f t="shared" si="6"/>
        <v>24.5</v>
      </c>
      <c r="AY28" s="8">
        <v>13000</v>
      </c>
      <c r="AZ28" s="9">
        <f t="shared" si="7"/>
        <v>10616.666666666666</v>
      </c>
      <c r="BA28" s="2">
        <f t="shared" si="8"/>
        <v>2123.3333333333335</v>
      </c>
      <c r="BB28" s="2">
        <f t="shared" si="9"/>
        <v>4246.666666666667</v>
      </c>
      <c r="BC28" s="2">
        <f t="shared" si="10"/>
        <v>4083.333333333333</v>
      </c>
      <c r="BD28" s="2" t="e">
        <f>VLOOKUP(A28,[1]Sheet3!$A$2:$D$52,4,0)</f>
        <v>#N/A</v>
      </c>
      <c r="BE28" s="2" t="e">
        <f t="shared" si="11"/>
        <v>#N/A</v>
      </c>
      <c r="BF28" s="2">
        <f t="shared" si="12"/>
        <v>1528.8</v>
      </c>
      <c r="BG28" s="2" t="e">
        <f t="shared" si="13"/>
        <v>#N/A</v>
      </c>
      <c r="BH28" s="2">
        <f t="shared" si="14"/>
        <v>467.55799999999994</v>
      </c>
      <c r="BI28" s="2">
        <f t="shared" si="15"/>
        <v>1061.242</v>
      </c>
      <c r="BJ28" s="2" t="e">
        <f t="shared" si="16"/>
        <v>#N/A</v>
      </c>
      <c r="BK28" s="2" t="e">
        <f t="shared" si="17"/>
        <v>#N/A</v>
      </c>
      <c r="BL28" s="2" t="e">
        <f t="shared" si="18"/>
        <v>#N/A</v>
      </c>
      <c r="BM28" s="2">
        <v>0</v>
      </c>
      <c r="BN28" s="2" t="e">
        <f t="shared" si="19"/>
        <v>#N/A</v>
      </c>
    </row>
    <row r="29" spans="1:66" ht="15.75" customHeight="1" x14ac:dyDescent="0.25">
      <c r="A29" s="2" t="s">
        <v>338</v>
      </c>
      <c r="B29" s="2" t="s">
        <v>339</v>
      </c>
      <c r="C29" s="2" t="s">
        <v>88</v>
      </c>
      <c r="D29" s="2" t="s">
        <v>226</v>
      </c>
      <c r="E29" s="2" t="s">
        <v>340</v>
      </c>
      <c r="F29" s="2" t="s">
        <v>341</v>
      </c>
      <c r="G29" s="2" t="s">
        <v>342</v>
      </c>
      <c r="H29" s="2" t="s">
        <v>343</v>
      </c>
      <c r="I29" s="2" t="s">
        <v>344</v>
      </c>
      <c r="J29" s="2" t="s">
        <v>345</v>
      </c>
      <c r="K29" s="2" t="s">
        <v>346</v>
      </c>
      <c r="L29" s="2" t="s">
        <v>347</v>
      </c>
      <c r="M29" s="2" t="s">
        <v>348</v>
      </c>
      <c r="N29" s="2" t="s">
        <v>56</v>
      </c>
      <c r="O29" s="2" t="s">
        <v>56</v>
      </c>
      <c r="P29" s="2" t="s">
        <v>56</v>
      </c>
      <c r="Q29" s="2" t="s">
        <v>56</v>
      </c>
      <c r="R29" s="2" t="s">
        <v>71</v>
      </c>
      <c r="S29" s="2" t="s">
        <v>71</v>
      </c>
      <c r="T29" s="2" t="s">
        <v>57</v>
      </c>
      <c r="U29" s="2" t="s">
        <v>56</v>
      </c>
      <c r="V29" s="2" t="s">
        <v>71</v>
      </c>
      <c r="W29" s="2" t="s">
        <v>71</v>
      </c>
      <c r="X29" s="2" t="s">
        <v>71</v>
      </c>
      <c r="Y29" s="2" t="s">
        <v>56</v>
      </c>
      <c r="Z29" s="2" t="s">
        <v>56</v>
      </c>
      <c r="AA29" s="2" t="s">
        <v>57</v>
      </c>
      <c r="AB29" s="2" t="s">
        <v>56</v>
      </c>
      <c r="AC29" s="2" t="s">
        <v>56</v>
      </c>
      <c r="AD29" s="2" t="s">
        <v>56</v>
      </c>
      <c r="AE29" s="2" t="s">
        <v>56</v>
      </c>
      <c r="AF29" s="2" t="s">
        <v>56</v>
      </c>
      <c r="AG29" s="2" t="s">
        <v>56</v>
      </c>
      <c r="AH29" s="2" t="s">
        <v>57</v>
      </c>
      <c r="AI29" s="2" t="s">
        <v>56</v>
      </c>
      <c r="AJ29" s="2" t="s">
        <v>56</v>
      </c>
      <c r="AK29" s="2" t="s">
        <v>56</v>
      </c>
      <c r="AL29" s="2" t="s">
        <v>58</v>
      </c>
      <c r="AM29" s="2" t="s">
        <v>56</v>
      </c>
      <c r="AN29" s="2" t="s">
        <v>56</v>
      </c>
      <c r="AO29" s="2" t="s">
        <v>57</v>
      </c>
      <c r="AP29" s="2" t="s">
        <v>56</v>
      </c>
      <c r="AQ29" s="2" t="s">
        <v>56</v>
      </c>
      <c r="AR29" s="2">
        <f t="shared" si="0"/>
        <v>20</v>
      </c>
      <c r="AS29" s="2">
        <f t="shared" si="1"/>
        <v>1</v>
      </c>
      <c r="AT29" s="2">
        <f t="shared" si="2"/>
        <v>0</v>
      </c>
      <c r="AU29" s="2">
        <f t="shared" si="3"/>
        <v>0</v>
      </c>
      <c r="AV29" s="2">
        <f t="shared" si="4"/>
        <v>4</v>
      </c>
      <c r="AW29" s="2">
        <f t="shared" si="5"/>
        <v>5</v>
      </c>
      <c r="AX29" s="2">
        <f t="shared" si="6"/>
        <v>25</v>
      </c>
      <c r="AY29" s="8">
        <v>14000</v>
      </c>
      <c r="AZ29" s="9">
        <f t="shared" si="7"/>
        <v>11666.666666666668</v>
      </c>
      <c r="BA29" s="2">
        <f t="shared" si="8"/>
        <v>2333.3333333333335</v>
      </c>
      <c r="BB29" s="2">
        <f t="shared" si="9"/>
        <v>4666.666666666667</v>
      </c>
      <c r="BC29" s="2">
        <f t="shared" si="10"/>
        <v>4166.6666666666661</v>
      </c>
      <c r="BD29" s="2" t="e">
        <f>VLOOKUP(A29,[1]Sheet3!$A$2:$D$52,4,0)</f>
        <v>#N/A</v>
      </c>
      <c r="BE29" s="2" t="e">
        <f t="shared" si="11"/>
        <v>#N/A</v>
      </c>
      <c r="BF29" s="2">
        <f t="shared" si="12"/>
        <v>1680.0000000000002</v>
      </c>
      <c r="BG29" s="2" t="e">
        <f t="shared" si="13"/>
        <v>#N/A</v>
      </c>
      <c r="BH29" s="2">
        <f t="shared" si="14"/>
        <v>513.80000000000007</v>
      </c>
      <c r="BI29" s="2">
        <f t="shared" si="15"/>
        <v>1166.2</v>
      </c>
      <c r="BJ29" s="2" t="e">
        <f t="shared" si="16"/>
        <v>#N/A</v>
      </c>
      <c r="BK29" s="2" t="e">
        <f t="shared" si="17"/>
        <v>#N/A</v>
      </c>
      <c r="BL29" s="2" t="e">
        <f t="shared" si="18"/>
        <v>#N/A</v>
      </c>
      <c r="BM29" s="2">
        <v>7000</v>
      </c>
      <c r="BN29" s="2" t="e">
        <f t="shared" si="19"/>
        <v>#N/A</v>
      </c>
    </row>
    <row r="30" spans="1:66" ht="15.75" customHeight="1" x14ac:dyDescent="0.25">
      <c r="A30" s="2" t="s">
        <v>349</v>
      </c>
      <c r="B30" s="2" t="s">
        <v>350</v>
      </c>
      <c r="C30" s="2" t="s">
        <v>101</v>
      </c>
      <c r="D30" s="2" t="s">
        <v>75</v>
      </c>
      <c r="E30" s="2" t="s">
        <v>351</v>
      </c>
      <c r="F30" s="2" t="s">
        <v>352</v>
      </c>
      <c r="G30" s="2" t="s">
        <v>353</v>
      </c>
      <c r="H30" s="2" t="s">
        <v>354</v>
      </c>
      <c r="I30" s="2" t="s">
        <v>355</v>
      </c>
      <c r="J30" s="2" t="s">
        <v>356</v>
      </c>
      <c r="K30" s="2" t="s">
        <v>357</v>
      </c>
      <c r="L30" s="2" t="s">
        <v>358</v>
      </c>
      <c r="M30" s="2" t="s">
        <v>359</v>
      </c>
      <c r="N30" s="2" t="s">
        <v>56</v>
      </c>
      <c r="O30" s="2" t="s">
        <v>56</v>
      </c>
      <c r="P30" s="2" t="s">
        <v>56</v>
      </c>
      <c r="Q30" s="2" t="s">
        <v>56</v>
      </c>
      <c r="R30" s="2" t="s">
        <v>56</v>
      </c>
      <c r="S30" s="2" t="s">
        <v>56</v>
      </c>
      <c r="T30" s="2" t="s">
        <v>57</v>
      </c>
      <c r="U30" s="2" t="s">
        <v>56</v>
      </c>
      <c r="V30" s="2" t="s">
        <v>56</v>
      </c>
      <c r="W30" s="2" t="s">
        <v>56</v>
      </c>
      <c r="X30" s="2" t="s">
        <v>56</v>
      </c>
      <c r="Y30" s="2" t="s">
        <v>56</v>
      </c>
      <c r="Z30" s="2" t="s">
        <v>56</v>
      </c>
      <c r="AA30" s="2" t="s">
        <v>57</v>
      </c>
      <c r="AB30" s="2" t="s">
        <v>56</v>
      </c>
      <c r="AC30" s="2" t="s">
        <v>56</v>
      </c>
      <c r="AD30" s="2" t="s">
        <v>56</v>
      </c>
      <c r="AE30" s="2" t="s">
        <v>56</v>
      </c>
      <c r="AF30" s="2" t="s">
        <v>56</v>
      </c>
      <c r="AG30" s="2" t="s">
        <v>56</v>
      </c>
      <c r="AH30" s="2" t="s">
        <v>57</v>
      </c>
      <c r="AI30" s="2" t="s">
        <v>56</v>
      </c>
      <c r="AJ30" s="2" t="s">
        <v>56</v>
      </c>
      <c r="AK30" s="2" t="s">
        <v>56</v>
      </c>
      <c r="AL30" s="2" t="s">
        <v>56</v>
      </c>
      <c r="AM30" s="2" t="s">
        <v>56</v>
      </c>
      <c r="AN30" s="2" t="s">
        <v>56</v>
      </c>
      <c r="AO30" s="2" t="s">
        <v>57</v>
      </c>
      <c r="AP30" s="2" t="s">
        <v>56</v>
      </c>
      <c r="AQ30" s="2" t="s">
        <v>56</v>
      </c>
      <c r="AR30" s="2">
        <f t="shared" si="0"/>
        <v>26</v>
      </c>
      <c r="AS30" s="2">
        <f t="shared" si="1"/>
        <v>0</v>
      </c>
      <c r="AT30" s="2">
        <f t="shared" si="2"/>
        <v>0</v>
      </c>
      <c r="AU30" s="2">
        <f t="shared" si="3"/>
        <v>0</v>
      </c>
      <c r="AV30" s="2">
        <f t="shared" si="4"/>
        <v>4</v>
      </c>
      <c r="AW30" s="2">
        <f t="shared" si="5"/>
        <v>0</v>
      </c>
      <c r="AX30" s="2">
        <f t="shared" si="6"/>
        <v>26</v>
      </c>
      <c r="AY30" s="8">
        <v>14000</v>
      </c>
      <c r="AZ30" s="9">
        <f t="shared" si="7"/>
        <v>12133.333333333334</v>
      </c>
      <c r="BA30" s="2">
        <f t="shared" si="8"/>
        <v>2426.666666666667</v>
      </c>
      <c r="BB30" s="2">
        <f t="shared" si="9"/>
        <v>4853.3333333333339</v>
      </c>
      <c r="BC30" s="2">
        <f t="shared" si="10"/>
        <v>4333.333333333333</v>
      </c>
      <c r="BD30" s="2" t="e">
        <f>VLOOKUP(A30,[1]Sheet3!$A$2:$D$52,4,0)</f>
        <v>#N/A</v>
      </c>
      <c r="BE30" s="2" t="e">
        <f t="shared" si="11"/>
        <v>#N/A</v>
      </c>
      <c r="BF30" s="2">
        <f t="shared" si="12"/>
        <v>1747.2</v>
      </c>
      <c r="BG30" s="2" t="e">
        <f t="shared" si="13"/>
        <v>#N/A</v>
      </c>
      <c r="BH30" s="2">
        <f t="shared" si="14"/>
        <v>534.35199999999998</v>
      </c>
      <c r="BI30" s="2">
        <f t="shared" si="15"/>
        <v>1212.848</v>
      </c>
      <c r="BJ30" s="2" t="e">
        <f t="shared" si="16"/>
        <v>#N/A</v>
      </c>
      <c r="BK30" s="2" t="e">
        <f t="shared" si="17"/>
        <v>#N/A</v>
      </c>
      <c r="BL30" s="2" t="e">
        <f t="shared" si="18"/>
        <v>#N/A</v>
      </c>
      <c r="BM30" s="2">
        <v>0</v>
      </c>
      <c r="BN30" s="2" t="e">
        <f t="shared" si="19"/>
        <v>#N/A</v>
      </c>
    </row>
    <row r="31" spans="1:66" ht="15.75" customHeight="1" x14ac:dyDescent="0.25">
      <c r="A31" s="2" t="s">
        <v>360</v>
      </c>
      <c r="B31" s="2" t="s">
        <v>361</v>
      </c>
      <c r="C31" s="2" t="s">
        <v>74</v>
      </c>
      <c r="D31" s="2" t="s">
        <v>75</v>
      </c>
      <c r="E31" s="2" t="s">
        <v>362</v>
      </c>
      <c r="F31" s="2" t="s">
        <v>363</v>
      </c>
      <c r="G31" s="2" t="s">
        <v>364</v>
      </c>
      <c r="H31" s="2" t="s">
        <v>365</v>
      </c>
      <c r="I31" s="2" t="s">
        <v>366</v>
      </c>
      <c r="J31" s="2" t="s">
        <v>367</v>
      </c>
      <c r="K31" s="2" t="s">
        <v>368</v>
      </c>
      <c r="L31" s="2" t="s">
        <v>369</v>
      </c>
      <c r="M31" s="2" t="s">
        <v>370</v>
      </c>
      <c r="N31" s="2" t="s">
        <v>56</v>
      </c>
      <c r="O31" s="2" t="s">
        <v>56</v>
      </c>
      <c r="P31" s="2" t="s">
        <v>56</v>
      </c>
      <c r="Q31" s="2" t="s">
        <v>56</v>
      </c>
      <c r="R31" s="2" t="s">
        <v>56</v>
      </c>
      <c r="S31" s="2" t="s">
        <v>56</v>
      </c>
      <c r="T31" s="2" t="s">
        <v>57</v>
      </c>
      <c r="U31" s="2" t="s">
        <v>56</v>
      </c>
      <c r="V31" s="2" t="s">
        <v>56</v>
      </c>
      <c r="W31" s="2" t="s">
        <v>56</v>
      </c>
      <c r="X31" s="2" t="s">
        <v>56</v>
      </c>
      <c r="Y31" s="2" t="s">
        <v>56</v>
      </c>
      <c r="Z31" s="2" t="s">
        <v>56</v>
      </c>
      <c r="AA31" s="2" t="s">
        <v>57</v>
      </c>
      <c r="AB31" s="2" t="s">
        <v>56</v>
      </c>
      <c r="AC31" s="2" t="s">
        <v>56</v>
      </c>
      <c r="AD31" s="2" t="s">
        <v>56</v>
      </c>
      <c r="AE31" s="2" t="s">
        <v>56</v>
      </c>
      <c r="AF31" s="2" t="s">
        <v>56</v>
      </c>
      <c r="AG31" s="2" t="s">
        <v>56</v>
      </c>
      <c r="AH31" s="2" t="s">
        <v>57</v>
      </c>
      <c r="AI31" s="2" t="s">
        <v>56</v>
      </c>
      <c r="AJ31" s="2" t="s">
        <v>58</v>
      </c>
      <c r="AK31" s="2" t="s">
        <v>56</v>
      </c>
      <c r="AL31" s="2" t="s">
        <v>56</v>
      </c>
      <c r="AM31" s="2" t="s">
        <v>56</v>
      </c>
      <c r="AN31" s="2" t="s">
        <v>56</v>
      </c>
      <c r="AO31" s="2" t="s">
        <v>57</v>
      </c>
      <c r="AP31" s="2" t="s">
        <v>56</v>
      </c>
      <c r="AQ31" s="2" t="s">
        <v>56</v>
      </c>
      <c r="AR31" s="2">
        <f t="shared" si="0"/>
        <v>25</v>
      </c>
      <c r="AS31" s="2">
        <f t="shared" si="1"/>
        <v>1</v>
      </c>
      <c r="AT31" s="2">
        <f t="shared" si="2"/>
        <v>0</v>
      </c>
      <c r="AU31" s="2">
        <f t="shared" si="3"/>
        <v>0</v>
      </c>
      <c r="AV31" s="2">
        <f t="shared" si="4"/>
        <v>4</v>
      </c>
      <c r="AW31" s="2">
        <f t="shared" si="5"/>
        <v>0</v>
      </c>
      <c r="AX31" s="2">
        <f t="shared" si="6"/>
        <v>25</v>
      </c>
      <c r="AY31" s="8">
        <v>15000</v>
      </c>
      <c r="AZ31" s="9">
        <f t="shared" si="7"/>
        <v>12500</v>
      </c>
      <c r="BA31" s="2">
        <f t="shared" si="8"/>
        <v>2500</v>
      </c>
      <c r="BB31" s="2">
        <f t="shared" si="9"/>
        <v>5000</v>
      </c>
      <c r="BC31" s="2">
        <f t="shared" si="10"/>
        <v>4166.6666666666661</v>
      </c>
      <c r="BD31" s="2" t="e">
        <f>VLOOKUP(A31,[1]Sheet3!$A$2:$D$52,4,0)</f>
        <v>#N/A</v>
      </c>
      <c r="BE31" s="2" t="e">
        <f t="shared" si="11"/>
        <v>#N/A</v>
      </c>
      <c r="BF31" s="2">
        <f t="shared" si="12"/>
        <v>1800</v>
      </c>
      <c r="BG31" s="2" t="e">
        <f t="shared" si="13"/>
        <v>#N/A</v>
      </c>
      <c r="BH31" s="2">
        <f t="shared" si="14"/>
        <v>550.5</v>
      </c>
      <c r="BI31" s="2">
        <f t="shared" si="15"/>
        <v>1249.5</v>
      </c>
      <c r="BJ31" s="2" t="e">
        <f t="shared" si="16"/>
        <v>#N/A</v>
      </c>
      <c r="BK31" s="2" t="e">
        <f t="shared" si="17"/>
        <v>#N/A</v>
      </c>
      <c r="BL31" s="2" t="e">
        <f t="shared" si="18"/>
        <v>#N/A</v>
      </c>
      <c r="BM31" s="2">
        <v>0</v>
      </c>
      <c r="BN31" s="2" t="e">
        <f t="shared" si="19"/>
        <v>#N/A</v>
      </c>
    </row>
    <row r="32" spans="1:66" ht="15.75" customHeight="1" x14ac:dyDescent="0.25">
      <c r="A32" s="2" t="s">
        <v>371</v>
      </c>
      <c r="B32" s="2" t="s">
        <v>372</v>
      </c>
      <c r="C32" s="2" t="s">
        <v>61</v>
      </c>
      <c r="D32" s="2" t="s">
        <v>75</v>
      </c>
      <c r="E32" s="2" t="s">
        <v>373</v>
      </c>
      <c r="F32" s="2" t="s">
        <v>374</v>
      </c>
      <c r="G32" s="2" t="s">
        <v>375</v>
      </c>
      <c r="H32" s="2" t="s">
        <v>376</v>
      </c>
      <c r="I32" s="2" t="s">
        <v>377</v>
      </c>
      <c r="J32" s="2" t="s">
        <v>378</v>
      </c>
      <c r="K32" s="2" t="s">
        <v>379</v>
      </c>
      <c r="L32" s="2" t="s">
        <v>380</v>
      </c>
      <c r="M32" s="2" t="s">
        <v>381</v>
      </c>
      <c r="N32" s="2" t="s">
        <v>56</v>
      </c>
      <c r="O32" s="2" t="s">
        <v>56</v>
      </c>
      <c r="P32" s="2" t="s">
        <v>56</v>
      </c>
      <c r="Q32" s="2" t="s">
        <v>56</v>
      </c>
      <c r="R32" s="2" t="s">
        <v>56</v>
      </c>
      <c r="S32" s="2" t="s">
        <v>56</v>
      </c>
      <c r="T32" s="2" t="s">
        <v>57</v>
      </c>
      <c r="U32" s="2" t="s">
        <v>56</v>
      </c>
      <c r="V32" s="2" t="s">
        <v>56</v>
      </c>
      <c r="W32" s="2" t="s">
        <v>56</v>
      </c>
      <c r="X32" s="2" t="s">
        <v>56</v>
      </c>
      <c r="Y32" s="2" t="s">
        <v>56</v>
      </c>
      <c r="Z32" s="2" t="s">
        <v>56</v>
      </c>
      <c r="AA32" s="2" t="s">
        <v>57</v>
      </c>
      <c r="AB32" s="2" t="s">
        <v>56</v>
      </c>
      <c r="AC32" s="2" t="s">
        <v>56</v>
      </c>
      <c r="AD32" s="2" t="s">
        <v>56</v>
      </c>
      <c r="AE32" s="2" t="s">
        <v>56</v>
      </c>
      <c r="AF32" s="2" t="s">
        <v>56</v>
      </c>
      <c r="AG32" s="2" t="s">
        <v>56</v>
      </c>
      <c r="AH32" s="2" t="s">
        <v>57</v>
      </c>
      <c r="AI32" s="2" t="s">
        <v>56</v>
      </c>
      <c r="AJ32" s="2" t="s">
        <v>58</v>
      </c>
      <c r="AK32" s="2" t="s">
        <v>56</v>
      </c>
      <c r="AL32" s="2" t="s">
        <v>56</v>
      </c>
      <c r="AM32" s="2" t="s">
        <v>56</v>
      </c>
      <c r="AN32" s="2" t="s">
        <v>56</v>
      </c>
      <c r="AO32" s="2" t="s">
        <v>57</v>
      </c>
      <c r="AP32" s="2" t="s">
        <v>56</v>
      </c>
      <c r="AQ32" s="2" t="s">
        <v>56</v>
      </c>
      <c r="AR32" s="2">
        <f t="shared" si="0"/>
        <v>25</v>
      </c>
      <c r="AS32" s="2">
        <f t="shared" si="1"/>
        <v>1</v>
      </c>
      <c r="AT32" s="2">
        <f t="shared" si="2"/>
        <v>0</v>
      </c>
      <c r="AU32" s="2">
        <f t="shared" si="3"/>
        <v>0</v>
      </c>
      <c r="AV32" s="2">
        <f t="shared" si="4"/>
        <v>4</v>
      </c>
      <c r="AW32" s="2">
        <f t="shared" si="5"/>
        <v>0</v>
      </c>
      <c r="AX32" s="2">
        <f t="shared" si="6"/>
        <v>25</v>
      </c>
      <c r="AY32" s="8">
        <v>16000</v>
      </c>
      <c r="AZ32" s="9">
        <f t="shared" si="7"/>
        <v>13333.333333333334</v>
      </c>
      <c r="BA32" s="2">
        <f t="shared" si="8"/>
        <v>2666.666666666667</v>
      </c>
      <c r="BB32" s="2">
        <f t="shared" si="9"/>
        <v>5333.3333333333339</v>
      </c>
      <c r="BC32" s="2">
        <f t="shared" si="10"/>
        <v>4166.6666666666661</v>
      </c>
      <c r="BD32" s="2" t="e">
        <f>VLOOKUP(A32,[1]Sheet3!$A$2:$D$52,4,0)</f>
        <v>#N/A</v>
      </c>
      <c r="BE32" s="2" t="e">
        <f t="shared" si="11"/>
        <v>#N/A</v>
      </c>
      <c r="BF32" s="2">
        <f t="shared" si="12"/>
        <v>1800</v>
      </c>
      <c r="BG32" s="2" t="e">
        <f t="shared" si="13"/>
        <v>#N/A</v>
      </c>
      <c r="BH32" s="2">
        <f t="shared" si="14"/>
        <v>550.5</v>
      </c>
      <c r="BI32" s="2">
        <f t="shared" si="15"/>
        <v>1249.5</v>
      </c>
      <c r="BJ32" s="2" t="e">
        <f t="shared" si="16"/>
        <v>#N/A</v>
      </c>
      <c r="BK32" s="2" t="e">
        <f t="shared" si="17"/>
        <v>#N/A</v>
      </c>
      <c r="BL32" s="2" t="e">
        <f t="shared" si="18"/>
        <v>#N/A</v>
      </c>
      <c r="BM32" s="2">
        <v>5000</v>
      </c>
      <c r="BN32" s="2" t="e">
        <f t="shared" si="19"/>
        <v>#N/A</v>
      </c>
    </row>
    <row r="33" spans="1:66" ht="15.75" customHeight="1" x14ac:dyDescent="0.25">
      <c r="A33" s="2" t="s">
        <v>382</v>
      </c>
      <c r="B33" s="2" t="s">
        <v>383</v>
      </c>
      <c r="C33" s="2" t="s">
        <v>88</v>
      </c>
      <c r="D33" s="2" t="s">
        <v>89</v>
      </c>
      <c r="E33" s="2" t="s">
        <v>384</v>
      </c>
      <c r="F33" s="2" t="s">
        <v>385</v>
      </c>
      <c r="G33" s="2" t="s">
        <v>386</v>
      </c>
      <c r="H33" s="2" t="s">
        <v>387</v>
      </c>
      <c r="I33" s="2" t="s">
        <v>388</v>
      </c>
      <c r="J33" s="2" t="s">
        <v>389</v>
      </c>
      <c r="K33" s="2" t="s">
        <v>390</v>
      </c>
      <c r="L33" s="2" t="s">
        <v>391</v>
      </c>
      <c r="M33" s="2" t="s">
        <v>392</v>
      </c>
      <c r="N33" s="2" t="s">
        <v>56</v>
      </c>
      <c r="O33" s="2" t="s">
        <v>56</v>
      </c>
      <c r="P33" s="2" t="s">
        <v>56</v>
      </c>
      <c r="Q33" s="2" t="s">
        <v>56</v>
      </c>
      <c r="R33" s="2" t="s">
        <v>56</v>
      </c>
      <c r="S33" s="2" t="s">
        <v>56</v>
      </c>
      <c r="T33" s="2" t="s">
        <v>57</v>
      </c>
      <c r="U33" s="2" t="s">
        <v>56</v>
      </c>
      <c r="V33" s="2" t="s">
        <v>56</v>
      </c>
      <c r="W33" s="2" t="s">
        <v>56</v>
      </c>
      <c r="X33" s="2" t="s">
        <v>56</v>
      </c>
      <c r="Y33" s="2" t="s">
        <v>56</v>
      </c>
      <c r="Z33" s="2" t="s">
        <v>56</v>
      </c>
      <c r="AA33" s="2" t="s">
        <v>57</v>
      </c>
      <c r="AB33" s="2" t="s">
        <v>56</v>
      </c>
      <c r="AC33" s="2" t="s">
        <v>56</v>
      </c>
      <c r="AD33" s="2" t="s">
        <v>56</v>
      </c>
      <c r="AE33" s="2" t="s">
        <v>56</v>
      </c>
      <c r="AF33" s="2" t="s">
        <v>56</v>
      </c>
      <c r="AG33" s="2" t="s">
        <v>56</v>
      </c>
      <c r="AH33" s="2" t="s">
        <v>57</v>
      </c>
      <c r="AI33" s="2" t="s">
        <v>56</v>
      </c>
      <c r="AJ33" s="2" t="s">
        <v>56</v>
      </c>
      <c r="AK33" s="2" t="s">
        <v>58</v>
      </c>
      <c r="AL33" s="2" t="s">
        <v>56</v>
      </c>
      <c r="AM33" s="2" t="s">
        <v>56</v>
      </c>
      <c r="AN33" s="2" t="s">
        <v>56</v>
      </c>
      <c r="AO33" s="2" t="s">
        <v>57</v>
      </c>
      <c r="AP33" s="2" t="s">
        <v>56</v>
      </c>
      <c r="AQ33" s="2" t="s">
        <v>56</v>
      </c>
      <c r="AR33" s="2">
        <f t="shared" si="0"/>
        <v>25</v>
      </c>
      <c r="AS33" s="2">
        <f t="shared" si="1"/>
        <v>1</v>
      </c>
      <c r="AT33" s="2">
        <f t="shared" si="2"/>
        <v>0</v>
      </c>
      <c r="AU33" s="2">
        <f t="shared" si="3"/>
        <v>0</v>
      </c>
      <c r="AV33" s="2">
        <f t="shared" si="4"/>
        <v>4</v>
      </c>
      <c r="AW33" s="2">
        <f t="shared" si="5"/>
        <v>0</v>
      </c>
      <c r="AX33" s="2">
        <f t="shared" si="6"/>
        <v>25</v>
      </c>
      <c r="AY33" s="8">
        <v>13000</v>
      </c>
      <c r="AZ33" s="9">
        <f t="shared" si="7"/>
        <v>10833.333333333332</v>
      </c>
      <c r="BA33" s="2">
        <f t="shared" si="8"/>
        <v>2166.6666666666665</v>
      </c>
      <c r="BB33" s="2">
        <f t="shared" si="9"/>
        <v>4333.333333333333</v>
      </c>
      <c r="BC33" s="2">
        <f t="shared" si="10"/>
        <v>4166.6666666666661</v>
      </c>
      <c r="BD33" s="2" t="e">
        <f>VLOOKUP(A33,[1]Sheet3!$A$2:$D$52,4,0)</f>
        <v>#N/A</v>
      </c>
      <c r="BE33" s="2" t="e">
        <f t="shared" si="11"/>
        <v>#N/A</v>
      </c>
      <c r="BF33" s="2">
        <f t="shared" si="12"/>
        <v>1559.9999999999998</v>
      </c>
      <c r="BG33" s="2" t="e">
        <f t="shared" si="13"/>
        <v>#N/A</v>
      </c>
      <c r="BH33" s="2">
        <f t="shared" si="14"/>
        <v>477.09999999999991</v>
      </c>
      <c r="BI33" s="2">
        <f t="shared" si="15"/>
        <v>1082.8999999999999</v>
      </c>
      <c r="BJ33" s="2" t="e">
        <f t="shared" si="16"/>
        <v>#N/A</v>
      </c>
      <c r="BK33" s="2" t="e">
        <f t="shared" si="17"/>
        <v>#N/A</v>
      </c>
      <c r="BL33" s="2" t="e">
        <f t="shared" si="18"/>
        <v>#N/A</v>
      </c>
      <c r="BM33" s="2">
        <v>0</v>
      </c>
      <c r="BN33" s="2" t="e">
        <f t="shared" si="19"/>
        <v>#N/A</v>
      </c>
    </row>
    <row r="34" spans="1:66" ht="15.75" customHeight="1" x14ac:dyDescent="0.25">
      <c r="A34" s="2" t="s">
        <v>393</v>
      </c>
      <c r="B34" s="2" t="s">
        <v>394</v>
      </c>
      <c r="C34" s="2" t="s">
        <v>88</v>
      </c>
      <c r="D34" s="2" t="s">
        <v>89</v>
      </c>
      <c r="E34" s="2" t="s">
        <v>395</v>
      </c>
      <c r="F34" s="2" t="s">
        <v>396</v>
      </c>
      <c r="G34" s="2" t="s">
        <v>397</v>
      </c>
      <c r="H34" s="2" t="s">
        <v>398</v>
      </c>
      <c r="I34" s="2" t="s">
        <v>399</v>
      </c>
      <c r="J34" s="2" t="s">
        <v>400</v>
      </c>
      <c r="K34" s="2" t="s">
        <v>401</v>
      </c>
      <c r="L34" s="2" t="s">
        <v>402</v>
      </c>
      <c r="M34" s="2" t="s">
        <v>403</v>
      </c>
      <c r="N34" s="2" t="s">
        <v>56</v>
      </c>
      <c r="O34" s="2" t="s">
        <v>56</v>
      </c>
      <c r="P34" s="2" t="s">
        <v>56</v>
      </c>
      <c r="Q34" s="2" t="s">
        <v>56</v>
      </c>
      <c r="R34" s="2" t="s">
        <v>56</v>
      </c>
      <c r="S34" s="2" t="s">
        <v>56</v>
      </c>
      <c r="T34" s="2" t="s">
        <v>57</v>
      </c>
      <c r="U34" s="2" t="s">
        <v>56</v>
      </c>
      <c r="V34" s="2" t="s">
        <v>56</v>
      </c>
      <c r="W34" s="2" t="s">
        <v>56</v>
      </c>
      <c r="X34" s="2" t="s">
        <v>56</v>
      </c>
      <c r="Y34" s="2" t="s">
        <v>56</v>
      </c>
      <c r="Z34" s="2" t="s">
        <v>56</v>
      </c>
      <c r="AA34" s="2" t="s">
        <v>57</v>
      </c>
      <c r="AB34" s="2" t="s">
        <v>56</v>
      </c>
      <c r="AC34" s="2" t="s">
        <v>56</v>
      </c>
      <c r="AD34" s="2" t="s">
        <v>56</v>
      </c>
      <c r="AE34" s="2" t="s">
        <v>56</v>
      </c>
      <c r="AF34" s="2" t="s">
        <v>56</v>
      </c>
      <c r="AG34" s="2" t="s">
        <v>56</v>
      </c>
      <c r="AH34" s="2" t="s">
        <v>57</v>
      </c>
      <c r="AI34" s="2" t="s">
        <v>56</v>
      </c>
      <c r="AJ34" s="2" t="s">
        <v>56</v>
      </c>
      <c r="AK34" s="2" t="s">
        <v>58</v>
      </c>
      <c r="AL34" s="2" t="s">
        <v>56</v>
      </c>
      <c r="AM34" s="2" t="s">
        <v>56</v>
      </c>
      <c r="AN34" s="2" t="s">
        <v>56</v>
      </c>
      <c r="AO34" s="2" t="s">
        <v>57</v>
      </c>
      <c r="AP34" s="2" t="s">
        <v>56</v>
      </c>
      <c r="AQ34" s="2" t="s">
        <v>56</v>
      </c>
      <c r="AR34" s="2">
        <f t="shared" si="0"/>
        <v>25</v>
      </c>
      <c r="AS34" s="2">
        <f t="shared" si="1"/>
        <v>1</v>
      </c>
      <c r="AT34" s="2">
        <f t="shared" si="2"/>
        <v>0</v>
      </c>
      <c r="AU34" s="2">
        <f t="shared" si="3"/>
        <v>0</v>
      </c>
      <c r="AV34" s="2">
        <f t="shared" si="4"/>
        <v>4</v>
      </c>
      <c r="AW34" s="2">
        <f t="shared" si="5"/>
        <v>0</v>
      </c>
      <c r="AX34" s="2">
        <f t="shared" si="6"/>
        <v>25</v>
      </c>
      <c r="AY34" s="8">
        <v>16000</v>
      </c>
      <c r="AZ34" s="9">
        <f t="shared" si="7"/>
        <v>13333.333333333334</v>
      </c>
      <c r="BA34" s="2">
        <f t="shared" si="8"/>
        <v>2666.666666666667</v>
      </c>
      <c r="BB34" s="2">
        <f t="shared" si="9"/>
        <v>5333.3333333333339</v>
      </c>
      <c r="BC34" s="2">
        <f t="shared" si="10"/>
        <v>4166.6666666666661</v>
      </c>
      <c r="BD34" s="2" t="e">
        <f>VLOOKUP(A34,[1]Sheet3!$A$2:$D$52,4,0)</f>
        <v>#N/A</v>
      </c>
      <c r="BE34" s="2" t="e">
        <f t="shared" si="11"/>
        <v>#N/A</v>
      </c>
      <c r="BF34" s="2">
        <f t="shared" si="12"/>
        <v>1800</v>
      </c>
      <c r="BG34" s="2" t="e">
        <f t="shared" si="13"/>
        <v>#N/A</v>
      </c>
      <c r="BH34" s="2">
        <f t="shared" si="14"/>
        <v>550.5</v>
      </c>
      <c r="BI34" s="2">
        <f t="shared" si="15"/>
        <v>1249.5</v>
      </c>
      <c r="BJ34" s="2" t="e">
        <f t="shared" si="16"/>
        <v>#N/A</v>
      </c>
      <c r="BK34" s="2" t="e">
        <f t="shared" si="17"/>
        <v>#N/A</v>
      </c>
      <c r="BL34" s="2" t="e">
        <f t="shared" si="18"/>
        <v>#N/A</v>
      </c>
      <c r="BM34" s="2">
        <v>0</v>
      </c>
      <c r="BN34" s="2" t="e">
        <f t="shared" si="19"/>
        <v>#N/A</v>
      </c>
    </row>
    <row r="35" spans="1:66" ht="15.75" customHeight="1" x14ac:dyDescent="0.25">
      <c r="A35" s="2" t="s">
        <v>404</v>
      </c>
      <c r="B35" s="2" t="s">
        <v>405</v>
      </c>
      <c r="C35" s="2" t="s">
        <v>45</v>
      </c>
      <c r="D35" s="2" t="s">
        <v>284</v>
      </c>
      <c r="E35" s="2" t="s">
        <v>406</v>
      </c>
      <c r="F35" s="2" t="s">
        <v>407</v>
      </c>
      <c r="G35" s="2" t="s">
        <v>408</v>
      </c>
      <c r="H35" s="2" t="s">
        <v>409</v>
      </c>
      <c r="I35" s="2" t="s">
        <v>410</v>
      </c>
      <c r="J35" s="2" t="s">
        <v>411</v>
      </c>
      <c r="K35" s="2" t="s">
        <v>412</v>
      </c>
      <c r="L35" s="2" t="s">
        <v>413</v>
      </c>
      <c r="M35" s="2" t="s">
        <v>414</v>
      </c>
      <c r="N35" s="2" t="s">
        <v>133</v>
      </c>
      <c r="O35" s="2" t="s">
        <v>56</v>
      </c>
      <c r="P35" s="2" t="s">
        <v>56</v>
      </c>
      <c r="Q35" s="2" t="s">
        <v>56</v>
      </c>
      <c r="R35" s="2" t="s">
        <v>56</v>
      </c>
      <c r="S35" s="2" t="s">
        <v>56</v>
      </c>
      <c r="T35" s="2" t="s">
        <v>57</v>
      </c>
      <c r="U35" s="2" t="s">
        <v>56</v>
      </c>
      <c r="V35" s="2" t="s">
        <v>56</v>
      </c>
      <c r="W35" s="2" t="s">
        <v>56</v>
      </c>
      <c r="X35" s="2" t="s">
        <v>56</v>
      </c>
      <c r="Y35" s="2" t="s">
        <v>56</v>
      </c>
      <c r="Z35" s="2" t="s">
        <v>56</v>
      </c>
      <c r="AA35" s="2" t="s">
        <v>57</v>
      </c>
      <c r="AB35" s="2" t="s">
        <v>56</v>
      </c>
      <c r="AC35" s="2" t="s">
        <v>56</v>
      </c>
      <c r="AD35" s="2" t="s">
        <v>56</v>
      </c>
      <c r="AE35" s="2" t="s">
        <v>56</v>
      </c>
      <c r="AF35" s="2" t="s">
        <v>56</v>
      </c>
      <c r="AG35" s="2" t="s">
        <v>56</v>
      </c>
      <c r="AH35" s="2" t="s">
        <v>57</v>
      </c>
      <c r="AI35" s="2" t="s">
        <v>56</v>
      </c>
      <c r="AJ35" s="2" t="s">
        <v>56</v>
      </c>
      <c r="AK35" s="2" t="s">
        <v>56</v>
      </c>
      <c r="AL35" s="2" t="s">
        <v>58</v>
      </c>
      <c r="AM35" s="2" t="s">
        <v>56</v>
      </c>
      <c r="AN35" s="2" t="s">
        <v>56</v>
      </c>
      <c r="AO35" s="2" t="s">
        <v>57</v>
      </c>
      <c r="AP35" s="2" t="s">
        <v>56</v>
      </c>
      <c r="AQ35" s="2" t="s">
        <v>56</v>
      </c>
      <c r="AR35" s="2">
        <f t="shared" si="0"/>
        <v>24</v>
      </c>
      <c r="AS35" s="2">
        <f t="shared" si="1"/>
        <v>1</v>
      </c>
      <c r="AT35" s="2">
        <f t="shared" si="2"/>
        <v>1</v>
      </c>
      <c r="AU35" s="2">
        <f t="shared" si="3"/>
        <v>0</v>
      </c>
      <c r="AV35" s="2">
        <f t="shared" si="4"/>
        <v>4</v>
      </c>
      <c r="AW35" s="2">
        <f t="shared" si="5"/>
        <v>0</v>
      </c>
      <c r="AX35" s="2">
        <f t="shared" si="6"/>
        <v>24.5</v>
      </c>
      <c r="AY35" s="8">
        <v>29000</v>
      </c>
      <c r="AZ35" s="9">
        <f t="shared" si="7"/>
        <v>23683.333333333332</v>
      </c>
      <c r="BA35" s="2">
        <f t="shared" si="8"/>
        <v>4736.666666666667</v>
      </c>
      <c r="BB35" s="2">
        <f t="shared" si="9"/>
        <v>9473.3333333333339</v>
      </c>
      <c r="BC35" s="2">
        <f t="shared" si="10"/>
        <v>4083.333333333333</v>
      </c>
      <c r="BD35" s="2" t="e">
        <f>VLOOKUP(A35,[1]Sheet3!$A$2:$D$52,4,0)</f>
        <v>#N/A</v>
      </c>
      <c r="BE35" s="2" t="e">
        <f t="shared" si="11"/>
        <v>#N/A</v>
      </c>
      <c r="BF35" s="2">
        <f t="shared" si="12"/>
        <v>1800</v>
      </c>
      <c r="BG35" s="2" t="e">
        <f t="shared" si="13"/>
        <v>#N/A</v>
      </c>
      <c r="BH35" s="2">
        <f t="shared" si="14"/>
        <v>550.5</v>
      </c>
      <c r="BI35" s="2">
        <f t="shared" si="15"/>
        <v>1249.5</v>
      </c>
      <c r="BJ35" s="2" t="e">
        <f t="shared" si="16"/>
        <v>#N/A</v>
      </c>
      <c r="BK35" s="2" t="e">
        <f t="shared" si="17"/>
        <v>#N/A</v>
      </c>
      <c r="BL35" s="2" t="e">
        <f t="shared" si="18"/>
        <v>#N/A</v>
      </c>
      <c r="BM35" s="2">
        <v>0</v>
      </c>
      <c r="BN35" s="2" t="e">
        <f t="shared" si="19"/>
        <v>#N/A</v>
      </c>
    </row>
    <row r="36" spans="1:66" ht="15.75" customHeight="1" x14ac:dyDescent="0.25">
      <c r="A36" s="2" t="s">
        <v>415</v>
      </c>
      <c r="B36" s="2" t="s">
        <v>416</v>
      </c>
      <c r="C36" s="2" t="s">
        <v>101</v>
      </c>
      <c r="D36" s="2" t="s">
        <v>75</v>
      </c>
      <c r="E36" s="2" t="s">
        <v>417</v>
      </c>
      <c r="F36" s="2" t="s">
        <v>418</v>
      </c>
      <c r="G36" s="2" t="s">
        <v>419</v>
      </c>
      <c r="H36" s="2" t="s">
        <v>420</v>
      </c>
      <c r="I36" s="2" t="s">
        <v>421</v>
      </c>
      <c r="J36" s="2" t="s">
        <v>422</v>
      </c>
      <c r="K36" s="2" t="s">
        <v>423</v>
      </c>
      <c r="L36" s="2" t="s">
        <v>424</v>
      </c>
      <c r="M36" s="2" t="s">
        <v>425</v>
      </c>
      <c r="N36" s="2" t="s">
        <v>56</v>
      </c>
      <c r="O36" s="2" t="s">
        <v>56</v>
      </c>
      <c r="P36" s="2" t="s">
        <v>56</v>
      </c>
      <c r="Q36" s="2" t="s">
        <v>56</v>
      </c>
      <c r="R36" s="2" t="s">
        <v>56</v>
      </c>
      <c r="S36" s="2" t="s">
        <v>56</v>
      </c>
      <c r="T36" s="2" t="s">
        <v>57</v>
      </c>
      <c r="U36" s="2" t="s">
        <v>56</v>
      </c>
      <c r="V36" s="2" t="s">
        <v>56</v>
      </c>
      <c r="W36" s="2" t="s">
        <v>56</v>
      </c>
      <c r="X36" s="2" t="s">
        <v>56</v>
      </c>
      <c r="Y36" s="2" t="s">
        <v>56</v>
      </c>
      <c r="Z36" s="2" t="s">
        <v>56</v>
      </c>
      <c r="AA36" s="2" t="s">
        <v>57</v>
      </c>
      <c r="AB36" s="2" t="s">
        <v>56</v>
      </c>
      <c r="AC36" s="2" t="s">
        <v>56</v>
      </c>
      <c r="AD36" s="2" t="s">
        <v>56</v>
      </c>
      <c r="AE36" s="2" t="s">
        <v>56</v>
      </c>
      <c r="AF36" s="2" t="s">
        <v>56</v>
      </c>
      <c r="AG36" s="2" t="s">
        <v>56</v>
      </c>
      <c r="AH36" s="2" t="s">
        <v>57</v>
      </c>
      <c r="AI36" s="2" t="s">
        <v>56</v>
      </c>
      <c r="AJ36" s="2" t="s">
        <v>56</v>
      </c>
      <c r="AK36" s="2" t="s">
        <v>56</v>
      </c>
      <c r="AL36" s="2" t="s">
        <v>58</v>
      </c>
      <c r="AM36" s="2" t="s">
        <v>58</v>
      </c>
      <c r="AN36" s="2" t="s">
        <v>56</v>
      </c>
      <c r="AO36" s="2" t="s">
        <v>57</v>
      </c>
      <c r="AP36" s="2" t="s">
        <v>56</v>
      </c>
      <c r="AQ36" s="2" t="s">
        <v>56</v>
      </c>
      <c r="AR36" s="2">
        <f t="shared" si="0"/>
        <v>24</v>
      </c>
      <c r="AS36" s="2">
        <f t="shared" si="1"/>
        <v>2</v>
      </c>
      <c r="AT36" s="2">
        <f t="shared" si="2"/>
        <v>0</v>
      </c>
      <c r="AU36" s="2">
        <f t="shared" si="3"/>
        <v>0</v>
      </c>
      <c r="AV36" s="2">
        <f t="shared" si="4"/>
        <v>4</v>
      </c>
      <c r="AW36" s="2">
        <f t="shared" si="5"/>
        <v>0</v>
      </c>
      <c r="AX36" s="2">
        <f t="shared" si="6"/>
        <v>24</v>
      </c>
      <c r="AY36" s="8">
        <v>14000</v>
      </c>
      <c r="AZ36" s="9">
        <f t="shared" si="7"/>
        <v>11200</v>
      </c>
      <c r="BA36" s="2">
        <f t="shared" si="8"/>
        <v>2240</v>
      </c>
      <c r="BB36" s="2">
        <f t="shared" si="9"/>
        <v>4480</v>
      </c>
      <c r="BC36" s="2">
        <f t="shared" si="10"/>
        <v>4000</v>
      </c>
      <c r="BD36" s="2" t="e">
        <f>VLOOKUP(A36,[1]Sheet3!$A$2:$D$52,4,0)</f>
        <v>#N/A</v>
      </c>
      <c r="BE36" s="2" t="e">
        <f t="shared" si="11"/>
        <v>#N/A</v>
      </c>
      <c r="BF36" s="2">
        <f t="shared" si="12"/>
        <v>1612.8</v>
      </c>
      <c r="BG36" s="2" t="e">
        <f t="shared" si="13"/>
        <v>#N/A</v>
      </c>
      <c r="BH36" s="2">
        <f t="shared" si="14"/>
        <v>493.24799999999993</v>
      </c>
      <c r="BI36" s="2">
        <f t="shared" si="15"/>
        <v>1119.5519999999999</v>
      </c>
      <c r="BJ36" s="2" t="e">
        <f t="shared" si="16"/>
        <v>#N/A</v>
      </c>
      <c r="BK36" s="2" t="e">
        <f t="shared" si="17"/>
        <v>#N/A</v>
      </c>
      <c r="BL36" s="2" t="e">
        <f t="shared" si="18"/>
        <v>#N/A</v>
      </c>
      <c r="BM36" s="2">
        <v>0</v>
      </c>
      <c r="BN36" s="2" t="e">
        <f t="shared" si="19"/>
        <v>#N/A</v>
      </c>
    </row>
    <row r="37" spans="1:66" ht="15.75" customHeight="1" x14ac:dyDescent="0.25">
      <c r="A37" s="2" t="s">
        <v>426</v>
      </c>
      <c r="B37" s="2" t="s">
        <v>427</v>
      </c>
      <c r="C37" s="2" t="s">
        <v>225</v>
      </c>
      <c r="D37" s="2" t="s">
        <v>284</v>
      </c>
      <c r="E37" s="2" t="s">
        <v>428</v>
      </c>
      <c r="F37" s="2" t="s">
        <v>429</v>
      </c>
      <c r="G37" s="2" t="s">
        <v>430</v>
      </c>
      <c r="H37" s="2" t="s">
        <v>431</v>
      </c>
      <c r="I37" s="2" t="s">
        <v>432</v>
      </c>
      <c r="J37" s="2" t="s">
        <v>433</v>
      </c>
      <c r="K37" s="2" t="s">
        <v>434</v>
      </c>
      <c r="L37" s="2" t="s">
        <v>435</v>
      </c>
      <c r="M37" s="2" t="s">
        <v>436</v>
      </c>
      <c r="N37" s="2" t="s">
        <v>56</v>
      </c>
      <c r="O37" s="2" t="s">
        <v>56</v>
      </c>
      <c r="P37" s="2" t="s">
        <v>56</v>
      </c>
      <c r="Q37" s="2" t="s">
        <v>56</v>
      </c>
      <c r="R37" s="2" t="s">
        <v>56</v>
      </c>
      <c r="S37" s="2" t="s">
        <v>56</v>
      </c>
      <c r="T37" s="2" t="s">
        <v>57</v>
      </c>
      <c r="U37" s="2" t="s">
        <v>56</v>
      </c>
      <c r="V37" s="2" t="s">
        <v>56</v>
      </c>
      <c r="W37" s="2" t="s">
        <v>56</v>
      </c>
      <c r="X37" s="2" t="s">
        <v>56</v>
      </c>
      <c r="Y37" s="2" t="s">
        <v>56</v>
      </c>
      <c r="Z37" s="2" t="s">
        <v>56</v>
      </c>
      <c r="AA37" s="2" t="s">
        <v>57</v>
      </c>
      <c r="AB37" s="2" t="s">
        <v>56</v>
      </c>
      <c r="AC37" s="2" t="s">
        <v>56</v>
      </c>
      <c r="AD37" s="2" t="s">
        <v>56</v>
      </c>
      <c r="AE37" s="2" t="s">
        <v>56</v>
      </c>
      <c r="AF37" s="2" t="s">
        <v>56</v>
      </c>
      <c r="AG37" s="2" t="s">
        <v>56</v>
      </c>
      <c r="AH37" s="2" t="s">
        <v>57</v>
      </c>
      <c r="AI37" s="2" t="s">
        <v>56</v>
      </c>
      <c r="AJ37" s="2" t="s">
        <v>56</v>
      </c>
      <c r="AK37" s="2" t="s">
        <v>56</v>
      </c>
      <c r="AL37" s="2" t="s">
        <v>56</v>
      </c>
      <c r="AM37" s="2" t="s">
        <v>56</v>
      </c>
      <c r="AN37" s="2" t="s">
        <v>56</v>
      </c>
      <c r="AO37" s="2" t="s">
        <v>57</v>
      </c>
      <c r="AP37" s="2" t="s">
        <v>56</v>
      </c>
      <c r="AQ37" s="2" t="s">
        <v>56</v>
      </c>
      <c r="AR37" s="2">
        <f t="shared" si="0"/>
        <v>26</v>
      </c>
      <c r="AS37" s="2">
        <f t="shared" si="1"/>
        <v>0</v>
      </c>
      <c r="AT37" s="2">
        <f t="shared" si="2"/>
        <v>0</v>
      </c>
      <c r="AU37" s="2">
        <f t="shared" si="3"/>
        <v>0</v>
      </c>
      <c r="AV37" s="2">
        <f t="shared" si="4"/>
        <v>4</v>
      </c>
      <c r="AW37" s="2">
        <f t="shared" si="5"/>
        <v>0</v>
      </c>
      <c r="AX37" s="2">
        <f t="shared" si="6"/>
        <v>26</v>
      </c>
      <c r="AY37" s="8">
        <v>13000</v>
      </c>
      <c r="AZ37" s="9">
        <f t="shared" si="7"/>
        <v>11266.666666666666</v>
      </c>
      <c r="BA37" s="2">
        <f t="shared" si="8"/>
        <v>2253.3333333333335</v>
      </c>
      <c r="BB37" s="2">
        <f t="shared" si="9"/>
        <v>4506.666666666667</v>
      </c>
      <c r="BC37" s="2">
        <f t="shared" si="10"/>
        <v>4333.333333333333</v>
      </c>
      <c r="BD37" s="2" t="e">
        <f>VLOOKUP(A37,[1]Sheet3!$A$2:$D$52,4,0)</f>
        <v>#N/A</v>
      </c>
      <c r="BE37" s="2" t="e">
        <f t="shared" si="11"/>
        <v>#N/A</v>
      </c>
      <c r="BF37" s="2">
        <f t="shared" si="12"/>
        <v>1622.3999999999999</v>
      </c>
      <c r="BG37" s="2" t="e">
        <f t="shared" si="13"/>
        <v>#N/A</v>
      </c>
      <c r="BH37" s="2">
        <f t="shared" si="14"/>
        <v>496.18399999999997</v>
      </c>
      <c r="BI37" s="2">
        <f t="shared" si="15"/>
        <v>1126.2159999999999</v>
      </c>
      <c r="BJ37" s="2" t="e">
        <f t="shared" si="16"/>
        <v>#N/A</v>
      </c>
      <c r="BK37" s="2" t="e">
        <f t="shared" si="17"/>
        <v>#N/A</v>
      </c>
      <c r="BL37" s="2" t="e">
        <f t="shared" si="18"/>
        <v>#N/A</v>
      </c>
      <c r="BM37" s="2">
        <v>0</v>
      </c>
      <c r="BN37" s="2" t="e">
        <f t="shared" si="19"/>
        <v>#N/A</v>
      </c>
    </row>
    <row r="38" spans="1:66" ht="15.75" customHeight="1" x14ac:dyDescent="0.25">
      <c r="A38" s="2" t="s">
        <v>437</v>
      </c>
      <c r="B38" s="2" t="s">
        <v>438</v>
      </c>
      <c r="C38" s="2" t="s">
        <v>225</v>
      </c>
      <c r="D38" s="2" t="s">
        <v>261</v>
      </c>
      <c r="E38" s="2" t="s">
        <v>439</v>
      </c>
      <c r="F38" s="2" t="s">
        <v>440</v>
      </c>
      <c r="G38" s="2" t="s">
        <v>441</v>
      </c>
      <c r="H38" s="2" t="s">
        <v>442</v>
      </c>
      <c r="I38" s="2" t="s">
        <v>443</v>
      </c>
      <c r="J38" s="2" t="s">
        <v>444</v>
      </c>
      <c r="K38" s="2" t="s">
        <v>445</v>
      </c>
      <c r="L38" s="2" t="s">
        <v>446</v>
      </c>
      <c r="M38" s="2" t="s">
        <v>447</v>
      </c>
      <c r="N38" s="2" t="s">
        <v>56</v>
      </c>
      <c r="O38" s="2" t="s">
        <v>56</v>
      </c>
      <c r="P38" s="2" t="s">
        <v>56</v>
      </c>
      <c r="Q38" s="2" t="s">
        <v>56</v>
      </c>
      <c r="R38" s="2" t="s">
        <v>56</v>
      </c>
      <c r="S38" s="2" t="s">
        <v>56</v>
      </c>
      <c r="T38" s="2" t="s">
        <v>57</v>
      </c>
      <c r="U38" s="2" t="s">
        <v>56</v>
      </c>
      <c r="V38" s="2" t="s">
        <v>56</v>
      </c>
      <c r="W38" s="2" t="s">
        <v>56</v>
      </c>
      <c r="X38" s="2" t="s">
        <v>56</v>
      </c>
      <c r="Y38" s="2" t="s">
        <v>56</v>
      </c>
      <c r="Z38" s="2" t="s">
        <v>56</v>
      </c>
      <c r="AA38" s="2" t="s">
        <v>57</v>
      </c>
      <c r="AB38" s="2" t="s">
        <v>56</v>
      </c>
      <c r="AC38" s="2" t="s">
        <v>56</v>
      </c>
      <c r="AD38" s="2" t="s">
        <v>56</v>
      </c>
      <c r="AE38" s="2" t="s">
        <v>56</v>
      </c>
      <c r="AF38" s="2" t="s">
        <v>56</v>
      </c>
      <c r="AG38" s="2" t="s">
        <v>56</v>
      </c>
      <c r="AH38" s="2" t="s">
        <v>57</v>
      </c>
      <c r="AI38" s="2" t="s">
        <v>56</v>
      </c>
      <c r="AJ38" s="2" t="s">
        <v>56</v>
      </c>
      <c r="AK38" s="2" t="s">
        <v>56</v>
      </c>
      <c r="AL38" s="2" t="s">
        <v>56</v>
      </c>
      <c r="AM38" s="2" t="s">
        <v>58</v>
      </c>
      <c r="AN38" s="2" t="s">
        <v>56</v>
      </c>
      <c r="AO38" s="2" t="s">
        <v>57</v>
      </c>
      <c r="AP38" s="2" t="s">
        <v>56</v>
      </c>
      <c r="AQ38" s="2" t="s">
        <v>56</v>
      </c>
      <c r="AR38" s="2">
        <f t="shared" si="0"/>
        <v>25</v>
      </c>
      <c r="AS38" s="2">
        <f t="shared" si="1"/>
        <v>1</v>
      </c>
      <c r="AT38" s="2">
        <f t="shared" si="2"/>
        <v>0</v>
      </c>
      <c r="AU38" s="2">
        <f t="shared" si="3"/>
        <v>0</v>
      </c>
      <c r="AV38" s="2">
        <f t="shared" si="4"/>
        <v>4</v>
      </c>
      <c r="AW38" s="2">
        <f t="shared" si="5"/>
        <v>0</v>
      </c>
      <c r="AX38" s="2">
        <f t="shared" si="6"/>
        <v>25</v>
      </c>
      <c r="AY38" s="8">
        <v>12000</v>
      </c>
      <c r="AZ38" s="9">
        <f t="shared" si="7"/>
        <v>10000</v>
      </c>
      <c r="BA38" s="2">
        <f t="shared" si="8"/>
        <v>2000</v>
      </c>
      <c r="BB38" s="2">
        <f t="shared" si="9"/>
        <v>4000</v>
      </c>
      <c r="BC38" s="2">
        <f t="shared" si="10"/>
        <v>4166.6666666666661</v>
      </c>
      <c r="BD38" s="2" t="e">
        <f>VLOOKUP(A38,[1]Sheet3!$A$2:$D$52,4,0)</f>
        <v>#N/A</v>
      </c>
      <c r="BE38" s="2" t="e">
        <f t="shared" si="11"/>
        <v>#N/A</v>
      </c>
      <c r="BF38" s="2">
        <f t="shared" si="12"/>
        <v>1440</v>
      </c>
      <c r="BG38" s="2" t="e">
        <f t="shared" si="13"/>
        <v>#N/A</v>
      </c>
      <c r="BH38" s="2">
        <f t="shared" si="14"/>
        <v>440.4</v>
      </c>
      <c r="BI38" s="2">
        <f t="shared" si="15"/>
        <v>999.6</v>
      </c>
      <c r="BJ38" s="2" t="e">
        <f t="shared" si="16"/>
        <v>#N/A</v>
      </c>
      <c r="BK38" s="2" t="e">
        <f t="shared" si="17"/>
        <v>#N/A</v>
      </c>
      <c r="BL38" s="2" t="e">
        <f t="shared" si="18"/>
        <v>#N/A</v>
      </c>
      <c r="BM38" s="2">
        <v>0</v>
      </c>
      <c r="BN38" s="2" t="e">
        <f t="shared" si="19"/>
        <v>#N/A</v>
      </c>
    </row>
    <row r="39" spans="1:66" ht="15.75" customHeight="1" x14ac:dyDescent="0.25">
      <c r="A39" s="2" t="s">
        <v>448</v>
      </c>
      <c r="B39" s="2" t="s">
        <v>449</v>
      </c>
      <c r="C39" s="2" t="s">
        <v>61</v>
      </c>
      <c r="D39" s="2" t="s">
        <v>46</v>
      </c>
      <c r="E39" s="2" t="s">
        <v>450</v>
      </c>
      <c r="F39" s="2" t="s">
        <v>451</v>
      </c>
      <c r="G39" s="2" t="s">
        <v>452</v>
      </c>
      <c r="H39" s="2" t="s">
        <v>453</v>
      </c>
      <c r="I39" s="2" t="s">
        <v>454</v>
      </c>
      <c r="J39" s="2" t="s">
        <v>455</v>
      </c>
      <c r="K39" s="2" t="s">
        <v>456</v>
      </c>
      <c r="L39" s="2" t="s">
        <v>457</v>
      </c>
      <c r="M39" s="2" t="s">
        <v>458</v>
      </c>
      <c r="N39" s="2" t="s">
        <v>56</v>
      </c>
      <c r="O39" s="2" t="s">
        <v>56</v>
      </c>
      <c r="P39" s="2" t="s">
        <v>56</v>
      </c>
      <c r="Q39" s="2" t="s">
        <v>56</v>
      </c>
      <c r="R39" s="2" t="s">
        <v>56</v>
      </c>
      <c r="S39" s="2" t="s">
        <v>56</v>
      </c>
      <c r="T39" s="2" t="s">
        <v>57</v>
      </c>
      <c r="U39" s="2" t="s">
        <v>56</v>
      </c>
      <c r="V39" s="2" t="s">
        <v>56</v>
      </c>
      <c r="W39" s="2" t="s">
        <v>56</v>
      </c>
      <c r="X39" s="2" t="s">
        <v>56</v>
      </c>
      <c r="Y39" s="2" t="s">
        <v>56</v>
      </c>
      <c r="Z39" s="2" t="s">
        <v>56</v>
      </c>
      <c r="AA39" s="2" t="s">
        <v>57</v>
      </c>
      <c r="AB39" s="2" t="s">
        <v>56</v>
      </c>
      <c r="AC39" s="2" t="s">
        <v>56</v>
      </c>
      <c r="AD39" s="2" t="s">
        <v>56</v>
      </c>
      <c r="AE39" s="2" t="s">
        <v>56</v>
      </c>
      <c r="AF39" s="2" t="s">
        <v>56</v>
      </c>
      <c r="AG39" s="2" t="s">
        <v>56</v>
      </c>
      <c r="AH39" s="2" t="s">
        <v>57</v>
      </c>
      <c r="AI39" s="2" t="s">
        <v>56</v>
      </c>
      <c r="AJ39" s="2" t="s">
        <v>56</v>
      </c>
      <c r="AK39" s="2" t="s">
        <v>56</v>
      </c>
      <c r="AL39" s="2" t="s">
        <v>56</v>
      </c>
      <c r="AM39" s="2" t="s">
        <v>58</v>
      </c>
      <c r="AN39" s="2" t="s">
        <v>56</v>
      </c>
      <c r="AO39" s="2" t="s">
        <v>57</v>
      </c>
      <c r="AP39" s="2" t="s">
        <v>56</v>
      </c>
      <c r="AQ39" s="2" t="s">
        <v>56</v>
      </c>
      <c r="AR39" s="2">
        <f t="shared" si="0"/>
        <v>25</v>
      </c>
      <c r="AS39" s="2">
        <f t="shared" si="1"/>
        <v>1</v>
      </c>
      <c r="AT39" s="2">
        <f t="shared" si="2"/>
        <v>0</v>
      </c>
      <c r="AU39" s="2">
        <f t="shared" si="3"/>
        <v>0</v>
      </c>
      <c r="AV39" s="2">
        <f t="shared" si="4"/>
        <v>4</v>
      </c>
      <c r="AW39" s="2">
        <f t="shared" si="5"/>
        <v>0</v>
      </c>
      <c r="AX39" s="2">
        <f t="shared" si="6"/>
        <v>25</v>
      </c>
      <c r="AY39" s="8">
        <v>32654</v>
      </c>
      <c r="AZ39" s="9">
        <f t="shared" si="7"/>
        <v>27211.666666666668</v>
      </c>
      <c r="BA39" s="2">
        <f t="shared" si="8"/>
        <v>5442.3333333333339</v>
      </c>
      <c r="BB39" s="2">
        <f t="shared" si="9"/>
        <v>10884.666666666668</v>
      </c>
      <c r="BC39" s="2">
        <f t="shared" si="10"/>
        <v>4166.6666666666661</v>
      </c>
      <c r="BD39" s="2" t="e">
        <f>VLOOKUP(A39,[1]Sheet3!$A$2:$D$52,4,0)</f>
        <v>#N/A</v>
      </c>
      <c r="BE39" s="2" t="e">
        <f t="shared" si="11"/>
        <v>#N/A</v>
      </c>
      <c r="BF39" s="2">
        <f t="shared" si="12"/>
        <v>1800</v>
      </c>
      <c r="BG39" s="2" t="e">
        <f t="shared" si="13"/>
        <v>#N/A</v>
      </c>
      <c r="BH39" s="2">
        <f t="shared" si="14"/>
        <v>550.5</v>
      </c>
      <c r="BI39" s="2">
        <f t="shared" si="15"/>
        <v>1249.5</v>
      </c>
      <c r="BJ39" s="2" t="e">
        <f t="shared" si="16"/>
        <v>#N/A</v>
      </c>
      <c r="BK39" s="2" t="e">
        <f t="shared" si="17"/>
        <v>#N/A</v>
      </c>
      <c r="BL39" s="2" t="e">
        <f t="shared" si="18"/>
        <v>#N/A</v>
      </c>
      <c r="BM39" s="2">
        <v>0</v>
      </c>
      <c r="BN39" s="2" t="e">
        <f t="shared" si="19"/>
        <v>#N/A</v>
      </c>
    </row>
    <row r="40" spans="1:66" ht="15.75" customHeight="1" x14ac:dyDescent="0.25">
      <c r="A40" s="2" t="s">
        <v>459</v>
      </c>
      <c r="B40" s="2" t="s">
        <v>460</v>
      </c>
      <c r="C40" s="2" t="s">
        <v>101</v>
      </c>
      <c r="D40" s="2" t="s">
        <v>75</v>
      </c>
      <c r="E40" s="2" t="s">
        <v>461</v>
      </c>
      <c r="F40" s="2" t="s">
        <v>462</v>
      </c>
      <c r="G40" s="2" t="s">
        <v>463</v>
      </c>
      <c r="H40" s="2" t="s">
        <v>464</v>
      </c>
      <c r="I40" s="2" t="s">
        <v>465</v>
      </c>
      <c r="J40" s="2" t="s">
        <v>466</v>
      </c>
      <c r="K40" s="2" t="s">
        <v>467</v>
      </c>
      <c r="L40" s="2" t="s">
        <v>468</v>
      </c>
      <c r="M40" s="2" t="s">
        <v>469</v>
      </c>
      <c r="N40" s="2" t="s">
        <v>133</v>
      </c>
      <c r="O40" s="2" t="s">
        <v>56</v>
      </c>
      <c r="P40" s="2" t="s">
        <v>56</v>
      </c>
      <c r="Q40" s="2" t="s">
        <v>56</v>
      </c>
      <c r="R40" s="2" t="s">
        <v>56</v>
      </c>
      <c r="S40" s="2" t="s">
        <v>56</v>
      </c>
      <c r="T40" s="2" t="s">
        <v>57</v>
      </c>
      <c r="U40" s="2" t="s">
        <v>56</v>
      </c>
      <c r="V40" s="2" t="s">
        <v>56</v>
      </c>
      <c r="W40" s="2" t="s">
        <v>56</v>
      </c>
      <c r="X40" s="2" t="s">
        <v>56</v>
      </c>
      <c r="Y40" s="2" t="s">
        <v>56</v>
      </c>
      <c r="Z40" s="2" t="s">
        <v>56</v>
      </c>
      <c r="AA40" s="2" t="s">
        <v>57</v>
      </c>
      <c r="AB40" s="2" t="s">
        <v>56</v>
      </c>
      <c r="AC40" s="2" t="s">
        <v>56</v>
      </c>
      <c r="AD40" s="2" t="s">
        <v>56</v>
      </c>
      <c r="AE40" s="2" t="s">
        <v>56</v>
      </c>
      <c r="AF40" s="2" t="s">
        <v>56</v>
      </c>
      <c r="AG40" s="2" t="s">
        <v>56</v>
      </c>
      <c r="AH40" s="2" t="s">
        <v>57</v>
      </c>
      <c r="AI40" s="2" t="s">
        <v>56</v>
      </c>
      <c r="AJ40" s="2" t="s">
        <v>56</v>
      </c>
      <c r="AK40" s="2" t="s">
        <v>56</v>
      </c>
      <c r="AL40" s="2" t="s">
        <v>56</v>
      </c>
      <c r="AM40" s="2" t="s">
        <v>58</v>
      </c>
      <c r="AN40" s="2" t="s">
        <v>56</v>
      </c>
      <c r="AO40" s="2" t="s">
        <v>57</v>
      </c>
      <c r="AP40" s="2" t="s">
        <v>56</v>
      </c>
      <c r="AQ40" s="2" t="s">
        <v>56</v>
      </c>
      <c r="AR40" s="2">
        <f t="shared" si="0"/>
        <v>24</v>
      </c>
      <c r="AS40" s="2">
        <f t="shared" si="1"/>
        <v>1</v>
      </c>
      <c r="AT40" s="2">
        <f t="shared" si="2"/>
        <v>1</v>
      </c>
      <c r="AU40" s="2">
        <f t="shared" si="3"/>
        <v>0</v>
      </c>
      <c r="AV40" s="2">
        <f t="shared" si="4"/>
        <v>4</v>
      </c>
      <c r="AW40" s="2">
        <f t="shared" si="5"/>
        <v>0</v>
      </c>
      <c r="AX40" s="2">
        <f t="shared" si="6"/>
        <v>24.5</v>
      </c>
      <c r="AY40" s="8">
        <v>16000</v>
      </c>
      <c r="AZ40" s="9">
        <f t="shared" si="7"/>
        <v>13066.666666666668</v>
      </c>
      <c r="BA40" s="2">
        <f t="shared" si="8"/>
        <v>2613.3333333333339</v>
      </c>
      <c r="BB40" s="2">
        <f t="shared" si="9"/>
        <v>5226.6666666666679</v>
      </c>
      <c r="BC40" s="2">
        <f t="shared" si="10"/>
        <v>4083.333333333333</v>
      </c>
      <c r="BD40" s="2" t="e">
        <f>VLOOKUP(A40,[1]Sheet3!$A$2:$D$52,4,0)</f>
        <v>#N/A</v>
      </c>
      <c r="BE40" s="2" t="e">
        <f t="shared" si="11"/>
        <v>#N/A</v>
      </c>
      <c r="BF40" s="2">
        <f t="shared" si="12"/>
        <v>1800</v>
      </c>
      <c r="BG40" s="2" t="e">
        <f t="shared" si="13"/>
        <v>#N/A</v>
      </c>
      <c r="BH40" s="2">
        <f t="shared" si="14"/>
        <v>550.5</v>
      </c>
      <c r="BI40" s="2">
        <f t="shared" si="15"/>
        <v>1249.5</v>
      </c>
      <c r="BJ40" s="2" t="e">
        <f t="shared" si="16"/>
        <v>#N/A</v>
      </c>
      <c r="BK40" s="2" t="e">
        <f t="shared" si="17"/>
        <v>#N/A</v>
      </c>
      <c r="BL40" s="2" t="e">
        <f t="shared" si="18"/>
        <v>#N/A</v>
      </c>
      <c r="BM40" s="2">
        <v>0</v>
      </c>
      <c r="BN40" s="2" t="e">
        <f t="shared" si="19"/>
        <v>#N/A</v>
      </c>
    </row>
    <row r="41" spans="1:66" ht="15.75" customHeight="1" x14ac:dyDescent="0.25">
      <c r="A41" s="2" t="s">
        <v>470</v>
      </c>
      <c r="B41" s="2" t="s">
        <v>471</v>
      </c>
      <c r="C41" s="2" t="s">
        <v>101</v>
      </c>
      <c r="D41" s="2" t="s">
        <v>46</v>
      </c>
      <c r="E41" s="2" t="s">
        <v>472</v>
      </c>
      <c r="F41" s="2" t="s">
        <v>473</v>
      </c>
      <c r="G41" s="2" t="s">
        <v>474</v>
      </c>
      <c r="H41" s="2" t="s">
        <v>475</v>
      </c>
      <c r="I41" s="2" t="s">
        <v>476</v>
      </c>
      <c r="J41" s="2" t="s">
        <v>477</v>
      </c>
      <c r="K41" s="2" t="s">
        <v>478</v>
      </c>
      <c r="L41" s="2" t="s">
        <v>479</v>
      </c>
      <c r="M41" s="2" t="s">
        <v>480</v>
      </c>
      <c r="N41" s="2" t="s">
        <v>56</v>
      </c>
      <c r="O41" s="2" t="s">
        <v>56</v>
      </c>
      <c r="P41" s="2" t="s">
        <v>56</v>
      </c>
      <c r="Q41" s="2" t="s">
        <v>56</v>
      </c>
      <c r="R41" s="2" t="s">
        <v>56</v>
      </c>
      <c r="S41" s="2" t="s">
        <v>56</v>
      </c>
      <c r="T41" s="2" t="s">
        <v>57</v>
      </c>
      <c r="U41" s="2" t="s">
        <v>56</v>
      </c>
      <c r="V41" s="2" t="s">
        <v>56</v>
      </c>
      <c r="W41" s="2" t="s">
        <v>56</v>
      </c>
      <c r="X41" s="2" t="s">
        <v>56</v>
      </c>
      <c r="Y41" s="2" t="s">
        <v>56</v>
      </c>
      <c r="Z41" s="2" t="s">
        <v>56</v>
      </c>
      <c r="AA41" s="2" t="s">
        <v>57</v>
      </c>
      <c r="AB41" s="2" t="s">
        <v>56</v>
      </c>
      <c r="AC41" s="2" t="s">
        <v>56</v>
      </c>
      <c r="AD41" s="2" t="s">
        <v>56</v>
      </c>
      <c r="AE41" s="2" t="s">
        <v>56</v>
      </c>
      <c r="AF41" s="2" t="s">
        <v>56</v>
      </c>
      <c r="AG41" s="2" t="s">
        <v>56</v>
      </c>
      <c r="AH41" s="2" t="s">
        <v>57</v>
      </c>
      <c r="AI41" s="2" t="s">
        <v>56</v>
      </c>
      <c r="AJ41" s="2" t="s">
        <v>56</v>
      </c>
      <c r="AK41" s="2" t="s">
        <v>56</v>
      </c>
      <c r="AL41" s="2" t="s">
        <v>56</v>
      </c>
      <c r="AM41" s="2" t="s">
        <v>58</v>
      </c>
      <c r="AN41" s="2" t="s">
        <v>56</v>
      </c>
      <c r="AO41" s="2" t="s">
        <v>57</v>
      </c>
      <c r="AP41" s="2" t="s">
        <v>56</v>
      </c>
      <c r="AQ41" s="2" t="s">
        <v>56</v>
      </c>
      <c r="AR41" s="2">
        <f t="shared" si="0"/>
        <v>25</v>
      </c>
      <c r="AS41" s="2">
        <f t="shared" si="1"/>
        <v>1</v>
      </c>
      <c r="AT41" s="2">
        <f t="shared" si="2"/>
        <v>0</v>
      </c>
      <c r="AU41" s="2">
        <f t="shared" si="3"/>
        <v>0</v>
      </c>
      <c r="AV41" s="2">
        <f t="shared" si="4"/>
        <v>4</v>
      </c>
      <c r="AW41" s="2">
        <f t="shared" si="5"/>
        <v>0</v>
      </c>
      <c r="AX41" s="2">
        <f t="shared" si="6"/>
        <v>25</v>
      </c>
      <c r="AY41" s="8">
        <v>16000</v>
      </c>
      <c r="AZ41" s="9">
        <f t="shared" si="7"/>
        <v>13333.333333333334</v>
      </c>
      <c r="BA41" s="2">
        <f t="shared" si="8"/>
        <v>2666.666666666667</v>
      </c>
      <c r="BB41" s="2">
        <f t="shared" si="9"/>
        <v>5333.3333333333339</v>
      </c>
      <c r="BC41" s="2">
        <f t="shared" si="10"/>
        <v>4166.6666666666661</v>
      </c>
      <c r="BD41" s="2" t="e">
        <f>VLOOKUP(A41,[1]Sheet3!$A$2:$D$52,4,0)</f>
        <v>#N/A</v>
      </c>
      <c r="BE41" s="2" t="e">
        <f t="shared" si="11"/>
        <v>#N/A</v>
      </c>
      <c r="BF41" s="2">
        <f t="shared" si="12"/>
        <v>1800</v>
      </c>
      <c r="BG41" s="2" t="e">
        <f t="shared" si="13"/>
        <v>#N/A</v>
      </c>
      <c r="BH41" s="2">
        <f t="shared" si="14"/>
        <v>550.5</v>
      </c>
      <c r="BI41" s="2">
        <f t="shared" si="15"/>
        <v>1249.5</v>
      </c>
      <c r="BJ41" s="2" t="e">
        <f t="shared" si="16"/>
        <v>#N/A</v>
      </c>
      <c r="BK41" s="2" t="e">
        <f t="shared" si="17"/>
        <v>#N/A</v>
      </c>
      <c r="BL41" s="2" t="e">
        <f t="shared" si="18"/>
        <v>#N/A</v>
      </c>
      <c r="BM41" s="2">
        <v>0</v>
      </c>
      <c r="BN41" s="2" t="e">
        <f t="shared" si="19"/>
        <v>#N/A</v>
      </c>
    </row>
    <row r="42" spans="1:66" ht="15.75" customHeight="1" x14ac:dyDescent="0.25">
      <c r="A42" s="2" t="s">
        <v>481</v>
      </c>
      <c r="B42" s="2" t="s">
        <v>482</v>
      </c>
      <c r="C42" s="2" t="s">
        <v>61</v>
      </c>
      <c r="D42" s="2" t="s">
        <v>89</v>
      </c>
      <c r="E42" s="2" t="s">
        <v>483</v>
      </c>
      <c r="F42" s="2" t="s">
        <v>484</v>
      </c>
      <c r="G42" s="2" t="s">
        <v>485</v>
      </c>
      <c r="H42" s="2" t="s">
        <v>486</v>
      </c>
      <c r="I42" s="2" t="s">
        <v>487</v>
      </c>
      <c r="J42" s="2" t="s">
        <v>488</v>
      </c>
      <c r="K42" s="2" t="s">
        <v>489</v>
      </c>
      <c r="L42" s="2" t="s">
        <v>490</v>
      </c>
      <c r="M42" s="2" t="s">
        <v>491</v>
      </c>
      <c r="N42" s="2" t="s">
        <v>56</v>
      </c>
      <c r="O42" s="2" t="s">
        <v>56</v>
      </c>
      <c r="P42" s="2" t="s">
        <v>56</v>
      </c>
      <c r="Q42" s="2" t="s">
        <v>56</v>
      </c>
      <c r="R42" s="2" t="s">
        <v>56</v>
      </c>
      <c r="S42" s="2" t="s">
        <v>56</v>
      </c>
      <c r="T42" s="2" t="s">
        <v>57</v>
      </c>
      <c r="U42" s="2" t="s">
        <v>56</v>
      </c>
      <c r="V42" s="2" t="s">
        <v>56</v>
      </c>
      <c r="W42" s="2" t="s">
        <v>56</v>
      </c>
      <c r="X42" s="2" t="s">
        <v>56</v>
      </c>
      <c r="Y42" s="2" t="s">
        <v>56</v>
      </c>
      <c r="Z42" s="2" t="s">
        <v>56</v>
      </c>
      <c r="AA42" s="2" t="s">
        <v>57</v>
      </c>
      <c r="AB42" s="2" t="s">
        <v>56</v>
      </c>
      <c r="AC42" s="2" t="s">
        <v>56</v>
      </c>
      <c r="AD42" s="2" t="s">
        <v>56</v>
      </c>
      <c r="AE42" s="2" t="s">
        <v>56</v>
      </c>
      <c r="AF42" s="2" t="s">
        <v>56</v>
      </c>
      <c r="AG42" s="2" t="s">
        <v>56</v>
      </c>
      <c r="AH42" s="2" t="s">
        <v>57</v>
      </c>
      <c r="AI42" s="2" t="s">
        <v>56</v>
      </c>
      <c r="AJ42" s="2" t="s">
        <v>56</v>
      </c>
      <c r="AK42" s="2" t="s">
        <v>56</v>
      </c>
      <c r="AL42" s="2" t="s">
        <v>58</v>
      </c>
      <c r="AM42" s="2" t="s">
        <v>56</v>
      </c>
      <c r="AN42" s="2" t="s">
        <v>56</v>
      </c>
      <c r="AO42" s="2" t="s">
        <v>57</v>
      </c>
      <c r="AP42" s="2" t="s">
        <v>56</v>
      </c>
      <c r="AQ42" s="2" t="s">
        <v>56</v>
      </c>
      <c r="AR42" s="2">
        <f t="shared" si="0"/>
        <v>25</v>
      </c>
      <c r="AS42" s="2">
        <f t="shared" si="1"/>
        <v>1</v>
      </c>
      <c r="AT42" s="2">
        <f t="shared" si="2"/>
        <v>0</v>
      </c>
      <c r="AU42" s="2">
        <f t="shared" si="3"/>
        <v>0</v>
      </c>
      <c r="AV42" s="2">
        <f t="shared" si="4"/>
        <v>4</v>
      </c>
      <c r="AW42" s="2">
        <f t="shared" si="5"/>
        <v>0</v>
      </c>
      <c r="AX42" s="2">
        <f t="shared" si="6"/>
        <v>25</v>
      </c>
      <c r="AY42" s="8">
        <v>16000</v>
      </c>
      <c r="AZ42" s="9">
        <f t="shared" si="7"/>
        <v>13333.333333333334</v>
      </c>
      <c r="BA42" s="2">
        <f t="shared" si="8"/>
        <v>2666.666666666667</v>
      </c>
      <c r="BB42" s="2">
        <f t="shared" si="9"/>
        <v>5333.3333333333339</v>
      </c>
      <c r="BC42" s="2">
        <f t="shared" si="10"/>
        <v>4166.6666666666661</v>
      </c>
      <c r="BD42" s="2" t="e">
        <f>VLOOKUP(A42,[1]Sheet3!$A$2:$D$52,4,0)</f>
        <v>#N/A</v>
      </c>
      <c r="BE42" s="2" t="e">
        <f t="shared" si="11"/>
        <v>#N/A</v>
      </c>
      <c r="BF42" s="2">
        <f t="shared" si="12"/>
        <v>1800</v>
      </c>
      <c r="BG42" s="2" t="e">
        <f t="shared" si="13"/>
        <v>#N/A</v>
      </c>
      <c r="BH42" s="2">
        <f t="shared" si="14"/>
        <v>550.5</v>
      </c>
      <c r="BI42" s="2">
        <f t="shared" si="15"/>
        <v>1249.5</v>
      </c>
      <c r="BJ42" s="2" t="e">
        <f t="shared" si="16"/>
        <v>#N/A</v>
      </c>
      <c r="BK42" s="2" t="e">
        <f t="shared" si="17"/>
        <v>#N/A</v>
      </c>
      <c r="BL42" s="2" t="e">
        <f t="shared" si="18"/>
        <v>#N/A</v>
      </c>
      <c r="BM42" s="2">
        <v>0</v>
      </c>
      <c r="BN42" s="2" t="e">
        <f t="shared" si="19"/>
        <v>#N/A</v>
      </c>
    </row>
    <row r="43" spans="1:66" ht="15.75" customHeight="1" x14ac:dyDescent="0.25">
      <c r="A43" s="2" t="s">
        <v>492</v>
      </c>
      <c r="B43" s="2" t="s">
        <v>493</v>
      </c>
      <c r="C43" s="2" t="s">
        <v>45</v>
      </c>
      <c r="D43" s="2" t="s">
        <v>261</v>
      </c>
      <c r="E43" s="2" t="s">
        <v>273</v>
      </c>
      <c r="F43" s="2" t="s">
        <v>494</v>
      </c>
      <c r="G43" s="2" t="s">
        <v>495</v>
      </c>
      <c r="H43" s="2" t="s">
        <v>496</v>
      </c>
      <c r="I43" s="2" t="s">
        <v>497</v>
      </c>
      <c r="J43" s="2" t="s">
        <v>498</v>
      </c>
      <c r="K43" s="2" t="s">
        <v>499</v>
      </c>
      <c r="L43" s="2" t="s">
        <v>500</v>
      </c>
      <c r="M43" s="2" t="s">
        <v>501</v>
      </c>
      <c r="N43" s="2" t="s">
        <v>56</v>
      </c>
      <c r="O43" s="2" t="s">
        <v>56</v>
      </c>
      <c r="P43" s="2" t="s">
        <v>56</v>
      </c>
      <c r="Q43" s="2" t="s">
        <v>56</v>
      </c>
      <c r="R43" s="2" t="s">
        <v>56</v>
      </c>
      <c r="S43" s="2" t="s">
        <v>56</v>
      </c>
      <c r="T43" s="2" t="s">
        <v>57</v>
      </c>
      <c r="U43" s="2" t="s">
        <v>56</v>
      </c>
      <c r="V43" s="2" t="s">
        <v>56</v>
      </c>
      <c r="W43" s="2" t="s">
        <v>56</v>
      </c>
      <c r="X43" s="2" t="s">
        <v>56</v>
      </c>
      <c r="Y43" s="2" t="s">
        <v>56</v>
      </c>
      <c r="Z43" s="2" t="s">
        <v>56</v>
      </c>
      <c r="AA43" s="2" t="s">
        <v>57</v>
      </c>
      <c r="AB43" s="2" t="s">
        <v>56</v>
      </c>
      <c r="AC43" s="2" t="s">
        <v>56</v>
      </c>
      <c r="AD43" s="2" t="s">
        <v>56</v>
      </c>
      <c r="AE43" s="2" t="s">
        <v>56</v>
      </c>
      <c r="AF43" s="2" t="s">
        <v>56</v>
      </c>
      <c r="AG43" s="2" t="s">
        <v>56</v>
      </c>
      <c r="AH43" s="2" t="s">
        <v>57</v>
      </c>
      <c r="AI43" s="2" t="s">
        <v>56</v>
      </c>
      <c r="AJ43" s="2" t="s">
        <v>56</v>
      </c>
      <c r="AK43" s="2" t="s">
        <v>56</v>
      </c>
      <c r="AL43" s="2" t="s">
        <v>56</v>
      </c>
      <c r="AM43" s="2" t="s">
        <v>56</v>
      </c>
      <c r="AN43" s="2" t="s">
        <v>56</v>
      </c>
      <c r="AO43" s="2" t="s">
        <v>57</v>
      </c>
      <c r="AP43" s="2" t="s">
        <v>56</v>
      </c>
      <c r="AQ43" s="2" t="s">
        <v>56</v>
      </c>
      <c r="AR43" s="2">
        <f t="shared" si="0"/>
        <v>26</v>
      </c>
      <c r="AS43" s="2">
        <f t="shared" si="1"/>
        <v>0</v>
      </c>
      <c r="AT43" s="2">
        <f t="shared" si="2"/>
        <v>0</v>
      </c>
      <c r="AU43" s="2">
        <f t="shared" si="3"/>
        <v>0</v>
      </c>
      <c r="AV43" s="2">
        <f t="shared" si="4"/>
        <v>4</v>
      </c>
      <c r="AW43" s="2">
        <f t="shared" si="5"/>
        <v>0</v>
      </c>
      <c r="AX43" s="2">
        <f t="shared" si="6"/>
        <v>26</v>
      </c>
      <c r="AY43" s="8">
        <v>18000</v>
      </c>
      <c r="AZ43" s="9">
        <f t="shared" si="7"/>
        <v>15600</v>
      </c>
      <c r="BA43" s="2">
        <f t="shared" si="8"/>
        <v>3120</v>
      </c>
      <c r="BB43" s="2">
        <f t="shared" si="9"/>
        <v>6240</v>
      </c>
      <c r="BC43" s="2">
        <f t="shared" si="10"/>
        <v>4333.333333333333</v>
      </c>
      <c r="BD43" s="2" t="e">
        <f>VLOOKUP(A43,[1]Sheet3!$A$2:$D$52,4,0)</f>
        <v>#N/A</v>
      </c>
      <c r="BE43" s="2" t="e">
        <f t="shared" si="11"/>
        <v>#N/A</v>
      </c>
      <c r="BF43" s="2">
        <f t="shared" si="12"/>
        <v>1800</v>
      </c>
      <c r="BG43" s="2" t="e">
        <f t="shared" si="13"/>
        <v>#N/A</v>
      </c>
      <c r="BH43" s="2">
        <f t="shared" si="14"/>
        <v>550.5</v>
      </c>
      <c r="BI43" s="2">
        <f t="shared" si="15"/>
        <v>1249.5</v>
      </c>
      <c r="BJ43" s="2" t="e">
        <f t="shared" si="16"/>
        <v>#N/A</v>
      </c>
      <c r="BK43" s="2" t="e">
        <f t="shared" si="17"/>
        <v>#N/A</v>
      </c>
      <c r="BL43" s="2" t="e">
        <f t="shared" si="18"/>
        <v>#N/A</v>
      </c>
      <c r="BM43" s="2">
        <v>0</v>
      </c>
      <c r="BN43" s="2" t="e">
        <f t="shared" si="19"/>
        <v>#N/A</v>
      </c>
    </row>
    <row r="44" spans="1:66" ht="15.75" customHeight="1" x14ac:dyDescent="0.25">
      <c r="A44" s="2" t="s">
        <v>502</v>
      </c>
      <c r="B44" s="2" t="s">
        <v>503</v>
      </c>
      <c r="C44" s="2" t="s">
        <v>225</v>
      </c>
      <c r="D44" s="2" t="s">
        <v>226</v>
      </c>
      <c r="E44" s="2" t="s">
        <v>504</v>
      </c>
      <c r="F44" s="2" t="s">
        <v>505</v>
      </c>
      <c r="G44" s="2" t="s">
        <v>506</v>
      </c>
      <c r="H44" s="2" t="s">
        <v>507</v>
      </c>
      <c r="I44" s="2" t="s">
        <v>508</v>
      </c>
      <c r="J44" s="2" t="s">
        <v>509</v>
      </c>
      <c r="K44" s="2" t="s">
        <v>510</v>
      </c>
      <c r="L44" s="2" t="s">
        <v>511</v>
      </c>
      <c r="M44" s="2" t="s">
        <v>512</v>
      </c>
      <c r="N44" s="2" t="s">
        <v>56</v>
      </c>
      <c r="O44" s="2" t="s">
        <v>56</v>
      </c>
      <c r="P44" s="2" t="s">
        <v>56</v>
      </c>
      <c r="Q44" s="2" t="s">
        <v>56</v>
      </c>
      <c r="R44" s="2" t="s">
        <v>56</v>
      </c>
      <c r="S44" s="2" t="s">
        <v>56</v>
      </c>
      <c r="T44" s="2" t="s">
        <v>57</v>
      </c>
      <c r="U44" s="2" t="s">
        <v>56</v>
      </c>
      <c r="V44" s="2" t="s">
        <v>56</v>
      </c>
      <c r="W44" s="2" t="s">
        <v>56</v>
      </c>
      <c r="X44" s="2" t="s">
        <v>56</v>
      </c>
      <c r="Y44" s="2" t="s">
        <v>56</v>
      </c>
      <c r="Z44" s="2" t="s">
        <v>56</v>
      </c>
      <c r="AA44" s="2" t="s">
        <v>57</v>
      </c>
      <c r="AB44" s="2" t="s">
        <v>56</v>
      </c>
      <c r="AC44" s="2" t="s">
        <v>56</v>
      </c>
      <c r="AD44" s="2" t="s">
        <v>56</v>
      </c>
      <c r="AE44" s="2" t="s">
        <v>56</v>
      </c>
      <c r="AF44" s="2" t="s">
        <v>56</v>
      </c>
      <c r="AG44" s="2" t="s">
        <v>56</v>
      </c>
      <c r="AH44" s="2" t="s">
        <v>57</v>
      </c>
      <c r="AI44" s="2" t="s">
        <v>56</v>
      </c>
      <c r="AJ44" s="2" t="s">
        <v>56</v>
      </c>
      <c r="AK44" s="2" t="s">
        <v>56</v>
      </c>
      <c r="AL44" s="2" t="s">
        <v>56</v>
      </c>
      <c r="AM44" s="2" t="s">
        <v>56</v>
      </c>
      <c r="AN44" s="2" t="s">
        <v>56</v>
      </c>
      <c r="AO44" s="2" t="s">
        <v>57</v>
      </c>
      <c r="AP44" s="2" t="s">
        <v>56</v>
      </c>
      <c r="AQ44" s="2" t="s">
        <v>56</v>
      </c>
      <c r="AR44" s="2">
        <f t="shared" si="0"/>
        <v>26</v>
      </c>
      <c r="AS44" s="2">
        <f t="shared" si="1"/>
        <v>0</v>
      </c>
      <c r="AT44" s="2">
        <f t="shared" si="2"/>
        <v>0</v>
      </c>
      <c r="AU44" s="2">
        <f t="shared" si="3"/>
        <v>0</v>
      </c>
      <c r="AV44" s="2">
        <f t="shared" si="4"/>
        <v>4</v>
      </c>
      <c r="AW44" s="2">
        <f t="shared" si="5"/>
        <v>0</v>
      </c>
      <c r="AX44" s="2">
        <f t="shared" si="6"/>
        <v>26</v>
      </c>
      <c r="AY44" s="8">
        <v>15000</v>
      </c>
      <c r="AZ44" s="9">
        <f t="shared" si="7"/>
        <v>13000</v>
      </c>
      <c r="BA44" s="2">
        <f t="shared" si="8"/>
        <v>2600</v>
      </c>
      <c r="BB44" s="2">
        <f t="shared" si="9"/>
        <v>5200</v>
      </c>
      <c r="BC44" s="2">
        <f t="shared" si="10"/>
        <v>4333.333333333333</v>
      </c>
      <c r="BD44" s="2" t="e">
        <f>VLOOKUP(A44,[1]Sheet3!$A$2:$D$52,4,0)</f>
        <v>#N/A</v>
      </c>
      <c r="BE44" s="2" t="e">
        <f t="shared" si="11"/>
        <v>#N/A</v>
      </c>
      <c r="BF44" s="2">
        <f t="shared" si="12"/>
        <v>1800</v>
      </c>
      <c r="BG44" s="2" t="e">
        <f t="shared" si="13"/>
        <v>#N/A</v>
      </c>
      <c r="BH44" s="2">
        <f t="shared" si="14"/>
        <v>550.5</v>
      </c>
      <c r="BI44" s="2">
        <f t="shared" si="15"/>
        <v>1249.5</v>
      </c>
      <c r="BJ44" s="2" t="e">
        <f t="shared" si="16"/>
        <v>#N/A</v>
      </c>
      <c r="BK44" s="2" t="e">
        <f t="shared" si="17"/>
        <v>#N/A</v>
      </c>
      <c r="BL44" s="2" t="e">
        <f t="shared" si="18"/>
        <v>#N/A</v>
      </c>
      <c r="BM44" s="2">
        <v>0</v>
      </c>
      <c r="BN44" s="2" t="e">
        <f t="shared" si="19"/>
        <v>#N/A</v>
      </c>
    </row>
    <row r="45" spans="1:66" ht="15.75" customHeight="1" x14ac:dyDescent="0.25">
      <c r="A45" s="2" t="s">
        <v>513</v>
      </c>
      <c r="B45" s="2" t="s">
        <v>514</v>
      </c>
      <c r="C45" s="2" t="s">
        <v>61</v>
      </c>
      <c r="D45" s="2" t="s">
        <v>284</v>
      </c>
      <c r="E45" s="2" t="s">
        <v>515</v>
      </c>
      <c r="F45" s="2" t="s">
        <v>516</v>
      </c>
      <c r="G45" s="2" t="s">
        <v>517</v>
      </c>
      <c r="H45" s="2" t="s">
        <v>518</v>
      </c>
      <c r="I45" s="2" t="s">
        <v>519</v>
      </c>
      <c r="J45" s="2" t="s">
        <v>520</v>
      </c>
      <c r="K45" s="2" t="s">
        <v>521</v>
      </c>
      <c r="L45" s="2" t="s">
        <v>522</v>
      </c>
      <c r="M45" s="2" t="s">
        <v>523</v>
      </c>
      <c r="N45" s="2" t="s">
        <v>56</v>
      </c>
      <c r="O45" s="2" t="s">
        <v>56</v>
      </c>
      <c r="P45" s="2" t="s">
        <v>56</v>
      </c>
      <c r="Q45" s="2" t="s">
        <v>56</v>
      </c>
      <c r="R45" s="2" t="s">
        <v>56</v>
      </c>
      <c r="S45" s="2" t="s">
        <v>56</v>
      </c>
      <c r="T45" s="2" t="s">
        <v>57</v>
      </c>
      <c r="U45" s="2" t="s">
        <v>56</v>
      </c>
      <c r="V45" s="2" t="s">
        <v>56</v>
      </c>
      <c r="W45" s="2" t="s">
        <v>56</v>
      </c>
      <c r="X45" s="2" t="s">
        <v>56</v>
      </c>
      <c r="Y45" s="2" t="s">
        <v>56</v>
      </c>
      <c r="Z45" s="2" t="s">
        <v>56</v>
      </c>
      <c r="AA45" s="2" t="s">
        <v>57</v>
      </c>
      <c r="AB45" s="2" t="s">
        <v>56</v>
      </c>
      <c r="AC45" s="2" t="s">
        <v>56</v>
      </c>
      <c r="AD45" s="2" t="s">
        <v>56</v>
      </c>
      <c r="AE45" s="2" t="s">
        <v>56</v>
      </c>
      <c r="AF45" s="2" t="s">
        <v>56</v>
      </c>
      <c r="AG45" s="2" t="s">
        <v>56</v>
      </c>
      <c r="AH45" s="2" t="s">
        <v>57</v>
      </c>
      <c r="AI45" s="2" t="s">
        <v>56</v>
      </c>
      <c r="AJ45" s="2" t="s">
        <v>56</v>
      </c>
      <c r="AK45" s="2" t="s">
        <v>56</v>
      </c>
      <c r="AL45" s="2" t="s">
        <v>56</v>
      </c>
      <c r="AM45" s="2" t="s">
        <v>56</v>
      </c>
      <c r="AN45" s="2" t="s">
        <v>56</v>
      </c>
      <c r="AO45" s="2" t="s">
        <v>57</v>
      </c>
      <c r="AP45" s="2" t="s">
        <v>56</v>
      </c>
      <c r="AQ45" s="2" t="s">
        <v>56</v>
      </c>
      <c r="AR45" s="2">
        <f t="shared" si="0"/>
        <v>26</v>
      </c>
      <c r="AS45" s="2">
        <f t="shared" si="1"/>
        <v>0</v>
      </c>
      <c r="AT45" s="2">
        <f t="shared" si="2"/>
        <v>0</v>
      </c>
      <c r="AU45" s="2">
        <f t="shared" si="3"/>
        <v>0</v>
      </c>
      <c r="AV45" s="2">
        <f t="shared" si="4"/>
        <v>4</v>
      </c>
      <c r="AW45" s="2">
        <f t="shared" si="5"/>
        <v>0</v>
      </c>
      <c r="AX45" s="2">
        <f t="shared" si="6"/>
        <v>26</v>
      </c>
      <c r="AY45" s="8">
        <v>11000</v>
      </c>
      <c r="AZ45" s="9">
        <f t="shared" si="7"/>
        <v>9533.3333333333339</v>
      </c>
      <c r="BA45" s="2">
        <f t="shared" si="8"/>
        <v>1906.666666666667</v>
      </c>
      <c r="BB45" s="2">
        <f t="shared" si="9"/>
        <v>3813.3333333333339</v>
      </c>
      <c r="BC45" s="2">
        <f t="shared" si="10"/>
        <v>4333.333333333333</v>
      </c>
      <c r="BD45" s="2" t="e">
        <f>VLOOKUP(A45,[1]Sheet3!$A$2:$D$52,4,0)</f>
        <v>#N/A</v>
      </c>
      <c r="BE45" s="2" t="e">
        <f t="shared" si="11"/>
        <v>#N/A</v>
      </c>
      <c r="BF45" s="2">
        <f t="shared" si="12"/>
        <v>1372.8</v>
      </c>
      <c r="BG45" s="2" t="e">
        <f t="shared" si="13"/>
        <v>#N/A</v>
      </c>
      <c r="BH45" s="2">
        <f t="shared" si="14"/>
        <v>419.84799999999996</v>
      </c>
      <c r="BI45" s="2">
        <f t="shared" si="15"/>
        <v>952.952</v>
      </c>
      <c r="BJ45" s="2" t="e">
        <f t="shared" si="16"/>
        <v>#N/A</v>
      </c>
      <c r="BK45" s="2" t="e">
        <f t="shared" si="17"/>
        <v>#N/A</v>
      </c>
      <c r="BL45" s="2" t="e">
        <f t="shared" si="18"/>
        <v>#N/A</v>
      </c>
      <c r="BM45" s="2">
        <v>0</v>
      </c>
      <c r="BN45" s="2" t="e">
        <f t="shared" si="19"/>
        <v>#N/A</v>
      </c>
    </row>
    <row r="46" spans="1:66" ht="15.75" customHeight="1" x14ac:dyDescent="0.25">
      <c r="A46" s="2" t="s">
        <v>524</v>
      </c>
      <c r="B46" s="2" t="s">
        <v>525</v>
      </c>
      <c r="C46" s="2" t="s">
        <v>45</v>
      </c>
      <c r="D46" s="2" t="s">
        <v>46</v>
      </c>
      <c r="E46" s="2" t="s">
        <v>526</v>
      </c>
      <c r="F46" s="2" t="s">
        <v>527</v>
      </c>
      <c r="G46" s="2" t="s">
        <v>528</v>
      </c>
      <c r="H46" s="2" t="s">
        <v>529</v>
      </c>
      <c r="I46" s="2" t="s">
        <v>530</v>
      </c>
      <c r="J46" s="2" t="s">
        <v>531</v>
      </c>
      <c r="K46" s="2" t="s">
        <v>532</v>
      </c>
      <c r="L46" s="2" t="s">
        <v>533</v>
      </c>
      <c r="M46" s="2" t="s">
        <v>534</v>
      </c>
      <c r="N46" s="2" t="s">
        <v>56</v>
      </c>
      <c r="O46" s="2" t="s">
        <v>56</v>
      </c>
      <c r="P46" s="2" t="s">
        <v>56</v>
      </c>
      <c r="Q46" s="2" t="s">
        <v>56</v>
      </c>
      <c r="R46" s="2" t="s">
        <v>56</v>
      </c>
      <c r="S46" s="2" t="s">
        <v>56</v>
      </c>
      <c r="T46" s="2" t="s">
        <v>57</v>
      </c>
      <c r="U46" s="2" t="s">
        <v>56</v>
      </c>
      <c r="V46" s="2" t="s">
        <v>56</v>
      </c>
      <c r="W46" s="2" t="s">
        <v>56</v>
      </c>
      <c r="X46" s="2" t="s">
        <v>56</v>
      </c>
      <c r="Y46" s="2" t="s">
        <v>56</v>
      </c>
      <c r="Z46" s="2" t="s">
        <v>56</v>
      </c>
      <c r="AA46" s="2" t="s">
        <v>57</v>
      </c>
      <c r="AB46" s="2" t="s">
        <v>56</v>
      </c>
      <c r="AC46" s="2" t="s">
        <v>56</v>
      </c>
      <c r="AD46" s="2" t="s">
        <v>56</v>
      </c>
      <c r="AE46" s="2" t="s">
        <v>56</v>
      </c>
      <c r="AF46" s="2" t="s">
        <v>56</v>
      </c>
      <c r="AG46" s="2" t="s">
        <v>56</v>
      </c>
      <c r="AH46" s="2" t="s">
        <v>57</v>
      </c>
      <c r="AI46" s="2" t="s">
        <v>56</v>
      </c>
      <c r="AJ46" s="2" t="s">
        <v>56</v>
      </c>
      <c r="AK46" s="2" t="s">
        <v>56</v>
      </c>
      <c r="AL46" s="2" t="s">
        <v>58</v>
      </c>
      <c r="AM46" s="2" t="s">
        <v>56</v>
      </c>
      <c r="AN46" s="2" t="s">
        <v>56</v>
      </c>
      <c r="AO46" s="2" t="s">
        <v>57</v>
      </c>
      <c r="AP46" s="2" t="s">
        <v>56</v>
      </c>
      <c r="AQ46" s="2" t="s">
        <v>56</v>
      </c>
      <c r="AR46" s="2">
        <f t="shared" si="0"/>
        <v>25</v>
      </c>
      <c r="AS46" s="2">
        <f t="shared" si="1"/>
        <v>1</v>
      </c>
      <c r="AT46" s="2">
        <f t="shared" si="2"/>
        <v>0</v>
      </c>
      <c r="AU46" s="2">
        <f t="shared" si="3"/>
        <v>0</v>
      </c>
      <c r="AV46" s="2">
        <f t="shared" si="4"/>
        <v>4</v>
      </c>
      <c r="AW46" s="2">
        <f t="shared" si="5"/>
        <v>0</v>
      </c>
      <c r="AX46" s="2">
        <f t="shared" si="6"/>
        <v>25</v>
      </c>
      <c r="AY46" s="8">
        <v>14000</v>
      </c>
      <c r="AZ46" s="9">
        <f t="shared" si="7"/>
        <v>11666.666666666668</v>
      </c>
      <c r="BA46" s="2">
        <f t="shared" si="8"/>
        <v>2333.3333333333335</v>
      </c>
      <c r="BB46" s="2">
        <f t="shared" si="9"/>
        <v>4666.666666666667</v>
      </c>
      <c r="BC46" s="2">
        <f t="shared" si="10"/>
        <v>4166.6666666666661</v>
      </c>
      <c r="BD46" s="2" t="e">
        <f>VLOOKUP(A46,[1]Sheet3!$A$2:$D$52,4,0)</f>
        <v>#N/A</v>
      </c>
      <c r="BE46" s="2" t="e">
        <f t="shared" si="11"/>
        <v>#N/A</v>
      </c>
      <c r="BF46" s="2">
        <f t="shared" si="12"/>
        <v>1680.0000000000002</v>
      </c>
      <c r="BG46" s="2" t="e">
        <f t="shared" si="13"/>
        <v>#N/A</v>
      </c>
      <c r="BH46" s="2">
        <f t="shared" si="14"/>
        <v>513.80000000000007</v>
      </c>
      <c r="BI46" s="2">
        <f t="shared" si="15"/>
        <v>1166.2</v>
      </c>
      <c r="BJ46" s="2" t="e">
        <f t="shared" si="16"/>
        <v>#N/A</v>
      </c>
      <c r="BK46" s="2" t="e">
        <f t="shared" si="17"/>
        <v>#N/A</v>
      </c>
      <c r="BL46" s="2" t="e">
        <f t="shared" si="18"/>
        <v>#N/A</v>
      </c>
      <c r="BM46" s="2">
        <v>8000</v>
      </c>
      <c r="BN46" s="2" t="e">
        <f t="shared" si="19"/>
        <v>#N/A</v>
      </c>
    </row>
    <row r="47" spans="1:66" ht="15.75" customHeight="1" x14ac:dyDescent="0.25">
      <c r="A47" s="2" t="s">
        <v>535</v>
      </c>
      <c r="B47" s="2" t="s">
        <v>536</v>
      </c>
      <c r="C47" s="2" t="s">
        <v>225</v>
      </c>
      <c r="D47" s="2" t="s">
        <v>75</v>
      </c>
      <c r="E47" s="2" t="s">
        <v>537</v>
      </c>
      <c r="F47" s="2" t="s">
        <v>538</v>
      </c>
      <c r="G47" s="2" t="s">
        <v>539</v>
      </c>
      <c r="H47" s="2" t="s">
        <v>540</v>
      </c>
      <c r="I47" s="2" t="s">
        <v>541</v>
      </c>
      <c r="J47" s="2" t="s">
        <v>542</v>
      </c>
      <c r="K47" s="2" t="s">
        <v>543</v>
      </c>
      <c r="L47" s="2" t="s">
        <v>544</v>
      </c>
      <c r="M47" s="2" t="s">
        <v>545</v>
      </c>
      <c r="N47" s="2" t="s">
        <v>133</v>
      </c>
      <c r="O47" s="2" t="s">
        <v>56</v>
      </c>
      <c r="P47" s="2" t="s">
        <v>56</v>
      </c>
      <c r="Q47" s="2" t="s">
        <v>56</v>
      </c>
      <c r="R47" s="2" t="s">
        <v>56</v>
      </c>
      <c r="S47" s="2" t="s">
        <v>56</v>
      </c>
      <c r="T47" s="2" t="s">
        <v>57</v>
      </c>
      <c r="U47" s="2" t="s">
        <v>56</v>
      </c>
      <c r="V47" s="2" t="s">
        <v>56</v>
      </c>
      <c r="W47" s="2" t="s">
        <v>56</v>
      </c>
      <c r="X47" s="2" t="s">
        <v>56</v>
      </c>
      <c r="Y47" s="2" t="s">
        <v>56</v>
      </c>
      <c r="Z47" s="2" t="s">
        <v>56</v>
      </c>
      <c r="AA47" s="2" t="s">
        <v>57</v>
      </c>
      <c r="AB47" s="2" t="s">
        <v>56</v>
      </c>
      <c r="AC47" s="2" t="s">
        <v>56</v>
      </c>
      <c r="AD47" s="2" t="s">
        <v>56</v>
      </c>
      <c r="AE47" s="2" t="s">
        <v>56</v>
      </c>
      <c r="AF47" s="2" t="s">
        <v>56</v>
      </c>
      <c r="AG47" s="2" t="s">
        <v>56</v>
      </c>
      <c r="AH47" s="2" t="s">
        <v>57</v>
      </c>
      <c r="AI47" s="2" t="s">
        <v>56</v>
      </c>
      <c r="AJ47" s="2" t="s">
        <v>56</v>
      </c>
      <c r="AK47" s="2" t="s">
        <v>56</v>
      </c>
      <c r="AL47" s="2" t="s">
        <v>56</v>
      </c>
      <c r="AM47" s="2" t="s">
        <v>58</v>
      </c>
      <c r="AN47" s="2" t="s">
        <v>56</v>
      </c>
      <c r="AO47" s="2" t="s">
        <v>57</v>
      </c>
      <c r="AP47" s="2" t="s">
        <v>56</v>
      </c>
      <c r="AQ47" s="2" t="s">
        <v>56</v>
      </c>
      <c r="AR47" s="2">
        <f t="shared" si="0"/>
        <v>24</v>
      </c>
      <c r="AS47" s="2">
        <f t="shared" si="1"/>
        <v>1</v>
      </c>
      <c r="AT47" s="2">
        <f t="shared" si="2"/>
        <v>1</v>
      </c>
      <c r="AU47" s="2">
        <f t="shared" si="3"/>
        <v>0</v>
      </c>
      <c r="AV47" s="2">
        <f t="shared" si="4"/>
        <v>4</v>
      </c>
      <c r="AW47" s="2">
        <f t="shared" si="5"/>
        <v>0</v>
      </c>
      <c r="AX47" s="2">
        <f t="shared" si="6"/>
        <v>24.5</v>
      </c>
      <c r="AY47" s="8">
        <v>19000</v>
      </c>
      <c r="AZ47" s="9">
        <f t="shared" si="7"/>
        <v>15516.666666666668</v>
      </c>
      <c r="BA47" s="2">
        <f t="shared" si="8"/>
        <v>3103.3333333333339</v>
      </c>
      <c r="BB47" s="2">
        <f t="shared" si="9"/>
        <v>6206.6666666666679</v>
      </c>
      <c r="BC47" s="2">
        <f t="shared" si="10"/>
        <v>4083.333333333333</v>
      </c>
      <c r="BD47" s="2" t="e">
        <f>VLOOKUP(A47,[1]Sheet3!$A$2:$D$52,4,0)</f>
        <v>#N/A</v>
      </c>
      <c r="BE47" s="2" t="e">
        <f t="shared" si="11"/>
        <v>#N/A</v>
      </c>
      <c r="BF47" s="2">
        <f t="shared" si="12"/>
        <v>1800</v>
      </c>
      <c r="BG47" s="2" t="e">
        <f t="shared" si="13"/>
        <v>#N/A</v>
      </c>
      <c r="BH47" s="2">
        <f t="shared" si="14"/>
        <v>550.5</v>
      </c>
      <c r="BI47" s="2">
        <f t="shared" si="15"/>
        <v>1249.5</v>
      </c>
      <c r="BJ47" s="2" t="e">
        <f t="shared" si="16"/>
        <v>#N/A</v>
      </c>
      <c r="BK47" s="2" t="e">
        <f t="shared" si="17"/>
        <v>#N/A</v>
      </c>
      <c r="BL47" s="2" t="e">
        <f t="shared" si="18"/>
        <v>#N/A</v>
      </c>
      <c r="BM47" s="2">
        <v>0</v>
      </c>
      <c r="BN47" s="2" t="e">
        <f t="shared" si="19"/>
        <v>#N/A</v>
      </c>
    </row>
    <row r="48" spans="1:66" ht="15.75" customHeight="1" x14ac:dyDescent="0.25">
      <c r="A48" s="2" t="s">
        <v>546</v>
      </c>
      <c r="B48" s="2" t="s">
        <v>547</v>
      </c>
      <c r="C48" s="2" t="s">
        <v>45</v>
      </c>
      <c r="D48" s="2" t="s">
        <v>261</v>
      </c>
      <c r="E48" s="2" t="s">
        <v>548</v>
      </c>
      <c r="F48" s="2" t="s">
        <v>549</v>
      </c>
      <c r="G48" s="2" t="s">
        <v>550</v>
      </c>
      <c r="H48" s="2" t="s">
        <v>551</v>
      </c>
      <c r="I48" s="2" t="s">
        <v>552</v>
      </c>
      <c r="J48" s="2" t="s">
        <v>553</v>
      </c>
      <c r="K48" s="2" t="s">
        <v>554</v>
      </c>
      <c r="L48" s="2" t="s">
        <v>555</v>
      </c>
      <c r="M48" s="2" t="s">
        <v>556</v>
      </c>
      <c r="N48" s="2" t="s">
        <v>56</v>
      </c>
      <c r="O48" s="2" t="s">
        <v>56</v>
      </c>
      <c r="P48" s="2" t="s">
        <v>56</v>
      </c>
      <c r="Q48" s="2" t="s">
        <v>56</v>
      </c>
      <c r="R48" s="2" t="s">
        <v>56</v>
      </c>
      <c r="S48" s="2" t="s">
        <v>56</v>
      </c>
      <c r="T48" s="2" t="s">
        <v>57</v>
      </c>
      <c r="U48" s="2" t="s">
        <v>56</v>
      </c>
      <c r="V48" s="2" t="s">
        <v>56</v>
      </c>
      <c r="W48" s="2" t="s">
        <v>56</v>
      </c>
      <c r="X48" s="2" t="s">
        <v>56</v>
      </c>
      <c r="Y48" s="2" t="s">
        <v>56</v>
      </c>
      <c r="Z48" s="2" t="s">
        <v>56</v>
      </c>
      <c r="AA48" s="2" t="s">
        <v>57</v>
      </c>
      <c r="AB48" s="2" t="s">
        <v>56</v>
      </c>
      <c r="AC48" s="2" t="s">
        <v>56</v>
      </c>
      <c r="AD48" s="2" t="s">
        <v>56</v>
      </c>
      <c r="AE48" s="2" t="s">
        <v>56</v>
      </c>
      <c r="AF48" s="2" t="s">
        <v>56</v>
      </c>
      <c r="AG48" s="2" t="s">
        <v>56</v>
      </c>
      <c r="AH48" s="2" t="s">
        <v>57</v>
      </c>
      <c r="AI48" s="2" t="s">
        <v>56</v>
      </c>
      <c r="AJ48" s="2" t="s">
        <v>56</v>
      </c>
      <c r="AK48" s="2" t="s">
        <v>56</v>
      </c>
      <c r="AL48" s="2" t="s">
        <v>56</v>
      </c>
      <c r="AM48" s="2" t="s">
        <v>56</v>
      </c>
      <c r="AN48" s="2" t="s">
        <v>58</v>
      </c>
      <c r="AO48" s="2" t="s">
        <v>57</v>
      </c>
      <c r="AP48" s="2" t="s">
        <v>56</v>
      </c>
      <c r="AQ48" s="2" t="s">
        <v>56</v>
      </c>
      <c r="AR48" s="2">
        <f t="shared" si="0"/>
        <v>25</v>
      </c>
      <c r="AS48" s="2">
        <f t="shared" si="1"/>
        <v>1</v>
      </c>
      <c r="AT48" s="2">
        <f t="shared" si="2"/>
        <v>0</v>
      </c>
      <c r="AU48" s="2">
        <f t="shared" si="3"/>
        <v>0</v>
      </c>
      <c r="AV48" s="2">
        <f t="shared" si="4"/>
        <v>4</v>
      </c>
      <c r="AW48" s="2">
        <f t="shared" si="5"/>
        <v>0</v>
      </c>
      <c r="AX48" s="2">
        <f t="shared" si="6"/>
        <v>25</v>
      </c>
      <c r="AY48" s="8">
        <v>13000</v>
      </c>
      <c r="AZ48" s="9">
        <f t="shared" si="7"/>
        <v>10833.333333333332</v>
      </c>
      <c r="BA48" s="2">
        <f t="shared" si="8"/>
        <v>2166.6666666666665</v>
      </c>
      <c r="BB48" s="2">
        <f t="shared" si="9"/>
        <v>4333.333333333333</v>
      </c>
      <c r="BC48" s="2">
        <f t="shared" si="10"/>
        <v>4166.6666666666661</v>
      </c>
      <c r="BD48" s="2" t="e">
        <f>VLOOKUP(A48,[1]Sheet3!$A$2:$D$52,4,0)</f>
        <v>#N/A</v>
      </c>
      <c r="BE48" s="2" t="e">
        <f t="shared" si="11"/>
        <v>#N/A</v>
      </c>
      <c r="BF48" s="2">
        <f t="shared" si="12"/>
        <v>1559.9999999999998</v>
      </c>
      <c r="BG48" s="2" t="e">
        <f t="shared" si="13"/>
        <v>#N/A</v>
      </c>
      <c r="BH48" s="2">
        <f t="shared" si="14"/>
        <v>477.09999999999991</v>
      </c>
      <c r="BI48" s="2">
        <f t="shared" si="15"/>
        <v>1082.8999999999999</v>
      </c>
      <c r="BJ48" s="2" t="e">
        <f t="shared" si="16"/>
        <v>#N/A</v>
      </c>
      <c r="BK48" s="2" t="e">
        <f t="shared" si="17"/>
        <v>#N/A</v>
      </c>
      <c r="BL48" s="2" t="e">
        <f t="shared" si="18"/>
        <v>#N/A</v>
      </c>
      <c r="BM48" s="2">
        <v>0</v>
      </c>
      <c r="BN48" s="2" t="e">
        <f t="shared" si="19"/>
        <v>#N/A</v>
      </c>
    </row>
    <row r="49" spans="1:66" ht="15.75" customHeight="1" x14ac:dyDescent="0.25">
      <c r="A49" s="2" t="s">
        <v>557</v>
      </c>
      <c r="B49" s="2" t="s">
        <v>558</v>
      </c>
      <c r="C49" s="2" t="s">
        <v>238</v>
      </c>
      <c r="D49" s="2" t="s">
        <v>75</v>
      </c>
      <c r="E49" s="2" t="s">
        <v>559</v>
      </c>
      <c r="F49" s="2" t="s">
        <v>560</v>
      </c>
      <c r="G49" s="2" t="s">
        <v>561</v>
      </c>
      <c r="H49" s="2" t="s">
        <v>562</v>
      </c>
      <c r="I49" s="2" t="s">
        <v>563</v>
      </c>
      <c r="J49" s="2" t="s">
        <v>564</v>
      </c>
      <c r="K49" s="2" t="s">
        <v>565</v>
      </c>
      <c r="L49" s="2" t="s">
        <v>566</v>
      </c>
      <c r="M49" s="2" t="s">
        <v>567</v>
      </c>
      <c r="N49" s="2" t="s">
        <v>56</v>
      </c>
      <c r="O49" s="2" t="s">
        <v>56</v>
      </c>
      <c r="P49" s="2" t="s">
        <v>56</v>
      </c>
      <c r="Q49" s="2" t="s">
        <v>56</v>
      </c>
      <c r="R49" s="2" t="s">
        <v>56</v>
      </c>
      <c r="S49" s="2" t="s">
        <v>56</v>
      </c>
      <c r="T49" s="2" t="s">
        <v>57</v>
      </c>
      <c r="U49" s="2" t="s">
        <v>56</v>
      </c>
      <c r="V49" s="2" t="s">
        <v>56</v>
      </c>
      <c r="W49" s="2" t="s">
        <v>56</v>
      </c>
      <c r="X49" s="2" t="s">
        <v>56</v>
      </c>
      <c r="Y49" s="2" t="s">
        <v>56</v>
      </c>
      <c r="Z49" s="2" t="s">
        <v>56</v>
      </c>
      <c r="AA49" s="2" t="s">
        <v>57</v>
      </c>
      <c r="AB49" s="2" t="s">
        <v>56</v>
      </c>
      <c r="AC49" s="2" t="s">
        <v>56</v>
      </c>
      <c r="AD49" s="2" t="s">
        <v>56</v>
      </c>
      <c r="AE49" s="2" t="s">
        <v>56</v>
      </c>
      <c r="AF49" s="2" t="s">
        <v>56</v>
      </c>
      <c r="AG49" s="2" t="s">
        <v>56</v>
      </c>
      <c r="AH49" s="2" t="s">
        <v>57</v>
      </c>
      <c r="AI49" s="2" t="s">
        <v>56</v>
      </c>
      <c r="AJ49" s="2" t="s">
        <v>56</v>
      </c>
      <c r="AK49" s="2" t="s">
        <v>56</v>
      </c>
      <c r="AL49" s="2" t="s">
        <v>56</v>
      </c>
      <c r="AM49" s="2" t="s">
        <v>56</v>
      </c>
      <c r="AN49" s="2" t="s">
        <v>56</v>
      </c>
      <c r="AO49" s="2" t="s">
        <v>57</v>
      </c>
      <c r="AP49" s="2" t="s">
        <v>56</v>
      </c>
      <c r="AQ49" s="2" t="s">
        <v>56</v>
      </c>
      <c r="AR49" s="2">
        <f t="shared" si="0"/>
        <v>26</v>
      </c>
      <c r="AS49" s="2">
        <f t="shared" si="1"/>
        <v>0</v>
      </c>
      <c r="AT49" s="2">
        <f t="shared" si="2"/>
        <v>0</v>
      </c>
      <c r="AU49" s="2">
        <f t="shared" si="3"/>
        <v>0</v>
      </c>
      <c r="AV49" s="2">
        <f t="shared" si="4"/>
        <v>4</v>
      </c>
      <c r="AW49" s="2">
        <f t="shared" si="5"/>
        <v>0</v>
      </c>
      <c r="AX49" s="2">
        <f t="shared" si="6"/>
        <v>26</v>
      </c>
      <c r="AY49" s="8">
        <v>14000</v>
      </c>
      <c r="AZ49" s="9">
        <f t="shared" si="7"/>
        <v>12133.333333333334</v>
      </c>
      <c r="BA49" s="2">
        <f t="shared" si="8"/>
        <v>2426.666666666667</v>
      </c>
      <c r="BB49" s="2">
        <f t="shared" si="9"/>
        <v>4853.3333333333339</v>
      </c>
      <c r="BC49" s="2">
        <f t="shared" si="10"/>
        <v>4333.333333333333</v>
      </c>
      <c r="BD49" s="2" t="e">
        <f>VLOOKUP(A49,[1]Sheet3!$A$2:$D$52,4,0)</f>
        <v>#N/A</v>
      </c>
      <c r="BE49" s="2" t="e">
        <f t="shared" si="11"/>
        <v>#N/A</v>
      </c>
      <c r="BF49" s="2">
        <f t="shared" si="12"/>
        <v>1747.2</v>
      </c>
      <c r="BG49" s="2" t="e">
        <f t="shared" si="13"/>
        <v>#N/A</v>
      </c>
      <c r="BH49" s="2">
        <f t="shared" si="14"/>
        <v>534.35199999999998</v>
      </c>
      <c r="BI49" s="2">
        <f t="shared" si="15"/>
        <v>1212.848</v>
      </c>
      <c r="BJ49" s="2" t="e">
        <f t="shared" si="16"/>
        <v>#N/A</v>
      </c>
      <c r="BK49" s="2" t="e">
        <f t="shared" si="17"/>
        <v>#N/A</v>
      </c>
      <c r="BL49" s="2" t="e">
        <f t="shared" si="18"/>
        <v>#N/A</v>
      </c>
      <c r="BM49" s="2">
        <v>0</v>
      </c>
      <c r="BN49" s="2" t="e">
        <f t="shared" si="19"/>
        <v>#N/A</v>
      </c>
    </row>
    <row r="50" spans="1:66" ht="15.75" customHeight="1" x14ac:dyDescent="0.25">
      <c r="A50" s="2" t="s">
        <v>568</v>
      </c>
      <c r="B50" s="2" t="s">
        <v>569</v>
      </c>
      <c r="C50" s="2" t="s">
        <v>74</v>
      </c>
      <c r="D50" s="2" t="s">
        <v>75</v>
      </c>
      <c r="E50" s="2" t="s">
        <v>570</v>
      </c>
      <c r="F50" s="2" t="s">
        <v>571</v>
      </c>
      <c r="G50" s="2" t="s">
        <v>572</v>
      </c>
      <c r="H50" s="2" t="s">
        <v>573</v>
      </c>
      <c r="I50" s="2" t="s">
        <v>574</v>
      </c>
      <c r="J50" s="2" t="s">
        <v>575</v>
      </c>
      <c r="K50" s="2" t="s">
        <v>576</v>
      </c>
      <c r="L50" s="2" t="s">
        <v>577</v>
      </c>
      <c r="M50" s="2" t="s">
        <v>578</v>
      </c>
      <c r="N50" s="2" t="s">
        <v>56</v>
      </c>
      <c r="O50" s="2" t="s">
        <v>56</v>
      </c>
      <c r="P50" s="2" t="s">
        <v>56</v>
      </c>
      <c r="Q50" s="2" t="s">
        <v>56</v>
      </c>
      <c r="R50" s="2" t="s">
        <v>56</v>
      </c>
      <c r="S50" s="2" t="s">
        <v>56</v>
      </c>
      <c r="T50" s="2" t="s">
        <v>57</v>
      </c>
      <c r="U50" s="2" t="s">
        <v>56</v>
      </c>
      <c r="V50" s="2" t="s">
        <v>56</v>
      </c>
      <c r="W50" s="2" t="s">
        <v>56</v>
      </c>
      <c r="X50" s="2" t="s">
        <v>56</v>
      </c>
      <c r="Y50" s="2" t="s">
        <v>56</v>
      </c>
      <c r="Z50" s="2" t="s">
        <v>56</v>
      </c>
      <c r="AA50" s="2" t="s">
        <v>57</v>
      </c>
      <c r="AB50" s="2" t="s">
        <v>56</v>
      </c>
      <c r="AC50" s="2" t="s">
        <v>56</v>
      </c>
      <c r="AD50" s="2" t="s">
        <v>56</v>
      </c>
      <c r="AE50" s="2" t="s">
        <v>56</v>
      </c>
      <c r="AF50" s="2" t="s">
        <v>56</v>
      </c>
      <c r="AG50" s="2" t="s">
        <v>56</v>
      </c>
      <c r="AH50" s="2" t="s">
        <v>57</v>
      </c>
      <c r="AI50" s="2" t="s">
        <v>56</v>
      </c>
      <c r="AJ50" s="2" t="s">
        <v>56</v>
      </c>
      <c r="AK50" s="2" t="s">
        <v>56</v>
      </c>
      <c r="AL50" s="2" t="s">
        <v>56</v>
      </c>
      <c r="AM50" s="2" t="s">
        <v>58</v>
      </c>
      <c r="AN50" s="2" t="s">
        <v>58</v>
      </c>
      <c r="AO50" s="2" t="s">
        <v>57</v>
      </c>
      <c r="AP50" s="2" t="s">
        <v>56</v>
      </c>
      <c r="AQ50" s="2" t="s">
        <v>56</v>
      </c>
      <c r="AR50" s="2">
        <f t="shared" si="0"/>
        <v>24</v>
      </c>
      <c r="AS50" s="2">
        <f t="shared" si="1"/>
        <v>2</v>
      </c>
      <c r="AT50" s="2">
        <f t="shared" si="2"/>
        <v>0</v>
      </c>
      <c r="AU50" s="2">
        <f t="shared" si="3"/>
        <v>0</v>
      </c>
      <c r="AV50" s="2">
        <f t="shared" si="4"/>
        <v>4</v>
      </c>
      <c r="AW50" s="2">
        <f t="shared" si="5"/>
        <v>0</v>
      </c>
      <c r="AX50" s="2">
        <f t="shared" si="6"/>
        <v>24</v>
      </c>
      <c r="AY50" s="8">
        <v>14000</v>
      </c>
      <c r="AZ50" s="9">
        <f t="shared" si="7"/>
        <v>11200</v>
      </c>
      <c r="BA50" s="2">
        <f t="shared" si="8"/>
        <v>2240</v>
      </c>
      <c r="BB50" s="2">
        <f t="shared" si="9"/>
        <v>4480</v>
      </c>
      <c r="BC50" s="2">
        <f t="shared" si="10"/>
        <v>4000</v>
      </c>
      <c r="BD50" s="2" t="e">
        <f>VLOOKUP(A50,[1]Sheet3!$A$2:$D$52,4,0)</f>
        <v>#N/A</v>
      </c>
      <c r="BE50" s="2" t="e">
        <f t="shared" si="11"/>
        <v>#N/A</v>
      </c>
      <c r="BF50" s="2">
        <f t="shared" si="12"/>
        <v>1612.8</v>
      </c>
      <c r="BG50" s="2" t="e">
        <f t="shared" si="13"/>
        <v>#N/A</v>
      </c>
      <c r="BH50" s="2">
        <f t="shared" si="14"/>
        <v>493.24799999999993</v>
      </c>
      <c r="BI50" s="2">
        <f t="shared" si="15"/>
        <v>1119.5519999999999</v>
      </c>
      <c r="BJ50" s="2" t="e">
        <f t="shared" si="16"/>
        <v>#N/A</v>
      </c>
      <c r="BK50" s="2" t="e">
        <f t="shared" si="17"/>
        <v>#N/A</v>
      </c>
      <c r="BL50" s="2" t="e">
        <f t="shared" si="18"/>
        <v>#N/A</v>
      </c>
      <c r="BM50" s="2">
        <v>0</v>
      </c>
      <c r="BN50" s="2" t="e">
        <f t="shared" si="19"/>
        <v>#N/A</v>
      </c>
    </row>
    <row r="51" spans="1:66" ht="15.75" customHeight="1" x14ac:dyDescent="0.25">
      <c r="A51" s="2" t="s">
        <v>579</v>
      </c>
      <c r="B51" s="2" t="s">
        <v>580</v>
      </c>
      <c r="C51" s="2" t="s">
        <v>225</v>
      </c>
      <c r="D51" s="2" t="s">
        <v>284</v>
      </c>
      <c r="E51" s="2" t="s">
        <v>581</v>
      </c>
      <c r="F51" s="2" t="s">
        <v>582</v>
      </c>
      <c r="G51" s="2" t="s">
        <v>583</v>
      </c>
      <c r="H51" s="2" t="s">
        <v>584</v>
      </c>
      <c r="I51" s="2" t="s">
        <v>585</v>
      </c>
      <c r="J51" s="2" t="s">
        <v>586</v>
      </c>
      <c r="K51" s="2" t="s">
        <v>587</v>
      </c>
      <c r="L51" s="2" t="s">
        <v>588</v>
      </c>
      <c r="M51" s="2" t="s">
        <v>589</v>
      </c>
      <c r="N51" s="2" t="s">
        <v>56</v>
      </c>
      <c r="O51" s="2" t="s">
        <v>56</v>
      </c>
      <c r="P51" s="2" t="s">
        <v>56</v>
      </c>
      <c r="Q51" s="2" t="s">
        <v>56</v>
      </c>
      <c r="R51" s="2" t="s">
        <v>56</v>
      </c>
      <c r="S51" s="2" t="s">
        <v>56</v>
      </c>
      <c r="T51" s="2" t="s">
        <v>57</v>
      </c>
      <c r="U51" s="2" t="s">
        <v>56</v>
      </c>
      <c r="V51" s="2" t="s">
        <v>56</v>
      </c>
      <c r="W51" s="2" t="s">
        <v>56</v>
      </c>
      <c r="X51" s="2" t="s">
        <v>56</v>
      </c>
      <c r="Y51" s="2" t="s">
        <v>56</v>
      </c>
      <c r="Z51" s="2" t="s">
        <v>56</v>
      </c>
      <c r="AA51" s="2" t="s">
        <v>57</v>
      </c>
      <c r="AB51" s="2" t="s">
        <v>56</v>
      </c>
      <c r="AC51" s="2" t="s">
        <v>56</v>
      </c>
      <c r="AD51" s="2" t="s">
        <v>56</v>
      </c>
      <c r="AE51" s="2" t="s">
        <v>56</v>
      </c>
      <c r="AF51" s="2" t="s">
        <v>56</v>
      </c>
      <c r="AG51" s="2" t="s">
        <v>56</v>
      </c>
      <c r="AH51" s="2" t="s">
        <v>57</v>
      </c>
      <c r="AI51" s="2" t="s">
        <v>56</v>
      </c>
      <c r="AJ51" s="2" t="s">
        <v>56</v>
      </c>
      <c r="AK51" s="2" t="s">
        <v>56</v>
      </c>
      <c r="AL51" s="2" t="s">
        <v>56</v>
      </c>
      <c r="AM51" s="2" t="s">
        <v>58</v>
      </c>
      <c r="AN51" s="2" t="s">
        <v>58</v>
      </c>
      <c r="AO51" s="2" t="s">
        <v>57</v>
      </c>
      <c r="AP51" s="2" t="s">
        <v>56</v>
      </c>
      <c r="AQ51" s="2" t="s">
        <v>56</v>
      </c>
      <c r="AR51" s="2">
        <f t="shared" si="0"/>
        <v>24</v>
      </c>
      <c r="AS51" s="2">
        <f t="shared" si="1"/>
        <v>2</v>
      </c>
      <c r="AT51" s="2">
        <f t="shared" si="2"/>
        <v>0</v>
      </c>
      <c r="AU51" s="2">
        <f t="shared" si="3"/>
        <v>0</v>
      </c>
      <c r="AV51" s="2">
        <f t="shared" si="4"/>
        <v>4</v>
      </c>
      <c r="AW51" s="2">
        <f t="shared" si="5"/>
        <v>0</v>
      </c>
      <c r="AX51" s="2">
        <f t="shared" si="6"/>
        <v>24</v>
      </c>
      <c r="AY51" s="8">
        <v>15000</v>
      </c>
      <c r="AZ51" s="9">
        <f t="shared" si="7"/>
        <v>12000</v>
      </c>
      <c r="BA51" s="2">
        <f t="shared" si="8"/>
        <v>2400</v>
      </c>
      <c r="BB51" s="2">
        <f t="shared" si="9"/>
        <v>4800</v>
      </c>
      <c r="BC51" s="2">
        <f t="shared" si="10"/>
        <v>4000</v>
      </c>
      <c r="BD51" s="2" t="e">
        <f>VLOOKUP(A51,[1]Sheet3!$A$2:$D$52,4,0)</f>
        <v>#N/A</v>
      </c>
      <c r="BE51" s="2" t="e">
        <f t="shared" si="11"/>
        <v>#N/A</v>
      </c>
      <c r="BF51" s="2">
        <f t="shared" si="12"/>
        <v>1728</v>
      </c>
      <c r="BG51" s="2" t="e">
        <f t="shared" si="13"/>
        <v>#N/A</v>
      </c>
      <c r="BH51" s="2">
        <f t="shared" si="14"/>
        <v>528.4799999999999</v>
      </c>
      <c r="BI51" s="2">
        <f t="shared" si="15"/>
        <v>1199.52</v>
      </c>
      <c r="BJ51" s="2" t="e">
        <f t="shared" si="16"/>
        <v>#N/A</v>
      </c>
      <c r="BK51" s="2" t="e">
        <f t="shared" si="17"/>
        <v>#N/A</v>
      </c>
      <c r="BL51" s="2" t="e">
        <f t="shared" si="18"/>
        <v>#N/A</v>
      </c>
      <c r="BM51" s="2">
        <v>0</v>
      </c>
      <c r="BN51" s="2" t="e">
        <f t="shared" si="19"/>
        <v>#N/A</v>
      </c>
    </row>
    <row r="52" spans="1:66" ht="15.75" customHeight="1" x14ac:dyDescent="0.25">
      <c r="A52" s="2" t="s">
        <v>590</v>
      </c>
      <c r="B52" s="2" t="s">
        <v>591</v>
      </c>
      <c r="C52" s="2" t="s">
        <v>61</v>
      </c>
      <c r="D52" s="2" t="s">
        <v>89</v>
      </c>
      <c r="E52" s="2" t="s">
        <v>592</v>
      </c>
      <c r="F52" s="2" t="s">
        <v>593</v>
      </c>
      <c r="G52" s="2" t="s">
        <v>594</v>
      </c>
      <c r="H52" s="2" t="s">
        <v>595</v>
      </c>
      <c r="I52" s="2" t="s">
        <v>596</v>
      </c>
      <c r="J52" s="2" t="s">
        <v>597</v>
      </c>
      <c r="K52" s="2" t="s">
        <v>598</v>
      </c>
      <c r="L52" s="2" t="s">
        <v>599</v>
      </c>
      <c r="M52" s="2" t="s">
        <v>600</v>
      </c>
      <c r="N52" s="2" t="s">
        <v>133</v>
      </c>
      <c r="O52" s="2" t="s">
        <v>56</v>
      </c>
      <c r="P52" s="2" t="s">
        <v>56</v>
      </c>
      <c r="Q52" s="2" t="s">
        <v>56</v>
      </c>
      <c r="R52" s="2" t="s">
        <v>56</v>
      </c>
      <c r="S52" s="2" t="s">
        <v>56</v>
      </c>
      <c r="T52" s="2" t="s">
        <v>57</v>
      </c>
      <c r="U52" s="2" t="s">
        <v>56</v>
      </c>
      <c r="V52" s="2" t="s">
        <v>56</v>
      </c>
      <c r="W52" s="2" t="s">
        <v>56</v>
      </c>
      <c r="X52" s="2" t="s">
        <v>56</v>
      </c>
      <c r="Y52" s="2" t="s">
        <v>56</v>
      </c>
      <c r="Z52" s="2" t="s">
        <v>56</v>
      </c>
      <c r="AA52" s="2" t="s">
        <v>57</v>
      </c>
      <c r="AB52" s="2" t="s">
        <v>56</v>
      </c>
      <c r="AC52" s="2" t="s">
        <v>56</v>
      </c>
      <c r="AD52" s="2" t="s">
        <v>56</v>
      </c>
      <c r="AE52" s="2" t="s">
        <v>56</v>
      </c>
      <c r="AF52" s="2" t="s">
        <v>56</v>
      </c>
      <c r="AG52" s="2" t="s">
        <v>56</v>
      </c>
      <c r="AH52" s="2" t="s">
        <v>57</v>
      </c>
      <c r="AI52" s="2" t="s">
        <v>56</v>
      </c>
      <c r="AJ52" s="2" t="s">
        <v>56</v>
      </c>
      <c r="AK52" s="2" t="s">
        <v>56</v>
      </c>
      <c r="AL52" s="2" t="s">
        <v>56</v>
      </c>
      <c r="AM52" s="2" t="s">
        <v>56</v>
      </c>
      <c r="AN52" s="2" t="s">
        <v>56</v>
      </c>
      <c r="AO52" s="2" t="s">
        <v>57</v>
      </c>
      <c r="AP52" s="2" t="s">
        <v>56</v>
      </c>
      <c r="AQ52" s="2" t="s">
        <v>56</v>
      </c>
      <c r="AR52" s="2">
        <f t="shared" si="0"/>
        <v>25</v>
      </c>
      <c r="AS52" s="2">
        <f t="shared" si="1"/>
        <v>0</v>
      </c>
      <c r="AT52" s="2">
        <f t="shared" si="2"/>
        <v>1</v>
      </c>
      <c r="AU52" s="2">
        <f t="shared" si="3"/>
        <v>0</v>
      </c>
      <c r="AV52" s="2">
        <f t="shared" si="4"/>
        <v>4</v>
      </c>
      <c r="AW52" s="2">
        <f t="shared" si="5"/>
        <v>0</v>
      </c>
      <c r="AX52" s="2">
        <f t="shared" si="6"/>
        <v>25.5</v>
      </c>
      <c r="AY52" s="8">
        <v>16000</v>
      </c>
      <c r="AZ52" s="9">
        <f t="shared" si="7"/>
        <v>13600.000000000002</v>
      </c>
      <c r="BA52" s="2">
        <f t="shared" si="8"/>
        <v>2720.0000000000005</v>
      </c>
      <c r="BB52" s="2">
        <f t="shared" si="9"/>
        <v>5440.0000000000009</v>
      </c>
      <c r="BC52" s="2">
        <f t="shared" si="10"/>
        <v>4250</v>
      </c>
      <c r="BD52" s="2" t="e">
        <f>VLOOKUP(A52,[1]Sheet3!$A$2:$D$52,4,0)</f>
        <v>#N/A</v>
      </c>
      <c r="BE52" s="2" t="e">
        <f t="shared" si="11"/>
        <v>#N/A</v>
      </c>
      <c r="BF52" s="2">
        <f t="shared" si="12"/>
        <v>1800</v>
      </c>
      <c r="BG52" s="2" t="e">
        <f t="shared" si="13"/>
        <v>#N/A</v>
      </c>
      <c r="BH52" s="2">
        <f t="shared" si="14"/>
        <v>550.5</v>
      </c>
      <c r="BI52" s="2">
        <f t="shared" si="15"/>
        <v>1249.5</v>
      </c>
      <c r="BJ52" s="2" t="e">
        <f t="shared" si="16"/>
        <v>#N/A</v>
      </c>
      <c r="BK52" s="2" t="e">
        <f t="shared" si="17"/>
        <v>#N/A</v>
      </c>
      <c r="BL52" s="2" t="e">
        <f t="shared" si="18"/>
        <v>#N/A</v>
      </c>
      <c r="BM52" s="2">
        <v>0</v>
      </c>
      <c r="BN52" s="2" t="e">
        <f t="shared" si="19"/>
        <v>#N/A</v>
      </c>
    </row>
    <row r="53" spans="1:66" ht="15.75" customHeight="1" x14ac:dyDescent="0.25">
      <c r="A53" s="2" t="s">
        <v>601</v>
      </c>
      <c r="B53" s="2" t="s">
        <v>602</v>
      </c>
      <c r="C53" s="2" t="s">
        <v>61</v>
      </c>
      <c r="D53" s="2" t="s">
        <v>46</v>
      </c>
      <c r="E53" s="2" t="s">
        <v>603</v>
      </c>
      <c r="F53" s="2" t="s">
        <v>604</v>
      </c>
      <c r="G53" s="2" t="s">
        <v>605</v>
      </c>
      <c r="H53" s="2" t="s">
        <v>606</v>
      </c>
      <c r="I53" s="2" t="s">
        <v>607</v>
      </c>
      <c r="J53" s="2" t="s">
        <v>608</v>
      </c>
      <c r="K53" s="2" t="s">
        <v>609</v>
      </c>
      <c r="L53" s="2" t="s">
        <v>610</v>
      </c>
      <c r="M53" s="2" t="s">
        <v>611</v>
      </c>
      <c r="N53" s="2" t="s">
        <v>56</v>
      </c>
      <c r="O53" s="2" t="s">
        <v>56</v>
      </c>
      <c r="P53" s="2" t="s">
        <v>56</v>
      </c>
      <c r="Q53" s="2" t="s">
        <v>56</v>
      </c>
      <c r="R53" s="2" t="s">
        <v>56</v>
      </c>
      <c r="S53" s="2" t="s">
        <v>56</v>
      </c>
      <c r="T53" s="2" t="s">
        <v>57</v>
      </c>
      <c r="U53" s="2" t="s">
        <v>56</v>
      </c>
      <c r="V53" s="2" t="s">
        <v>56</v>
      </c>
      <c r="W53" s="2" t="s">
        <v>56</v>
      </c>
      <c r="X53" s="2" t="s">
        <v>56</v>
      </c>
      <c r="Y53" s="2" t="s">
        <v>56</v>
      </c>
      <c r="Z53" s="2" t="s">
        <v>56</v>
      </c>
      <c r="AA53" s="2" t="s">
        <v>57</v>
      </c>
      <c r="AB53" s="2" t="s">
        <v>56</v>
      </c>
      <c r="AC53" s="2" t="s">
        <v>56</v>
      </c>
      <c r="AD53" s="2" t="s">
        <v>56</v>
      </c>
      <c r="AE53" s="2" t="s">
        <v>56</v>
      </c>
      <c r="AF53" s="2" t="s">
        <v>56</v>
      </c>
      <c r="AG53" s="2" t="s">
        <v>56</v>
      </c>
      <c r="AH53" s="2" t="s">
        <v>57</v>
      </c>
      <c r="AI53" s="2" t="s">
        <v>56</v>
      </c>
      <c r="AJ53" s="2" t="s">
        <v>56</v>
      </c>
      <c r="AK53" s="2" t="s">
        <v>56</v>
      </c>
      <c r="AL53" s="2" t="s">
        <v>56</v>
      </c>
      <c r="AM53" s="2" t="s">
        <v>56</v>
      </c>
      <c r="AN53" s="2" t="s">
        <v>56</v>
      </c>
      <c r="AO53" s="2" t="s">
        <v>57</v>
      </c>
      <c r="AP53" s="2" t="s">
        <v>56</v>
      </c>
      <c r="AQ53" s="2" t="s">
        <v>56</v>
      </c>
      <c r="AR53" s="2">
        <f t="shared" si="0"/>
        <v>26</v>
      </c>
      <c r="AS53" s="2">
        <f t="shared" si="1"/>
        <v>0</v>
      </c>
      <c r="AT53" s="2">
        <f t="shared" si="2"/>
        <v>0</v>
      </c>
      <c r="AU53" s="2">
        <f t="shared" si="3"/>
        <v>0</v>
      </c>
      <c r="AV53" s="2">
        <f t="shared" si="4"/>
        <v>4</v>
      </c>
      <c r="AW53" s="2">
        <f t="shared" si="5"/>
        <v>0</v>
      </c>
      <c r="AX53" s="2">
        <f t="shared" si="6"/>
        <v>26</v>
      </c>
      <c r="AY53" s="8">
        <v>13000</v>
      </c>
      <c r="AZ53" s="9">
        <f t="shared" si="7"/>
        <v>11266.666666666666</v>
      </c>
      <c r="BA53" s="2">
        <f t="shared" si="8"/>
        <v>2253.3333333333335</v>
      </c>
      <c r="BB53" s="2">
        <f t="shared" si="9"/>
        <v>4506.666666666667</v>
      </c>
      <c r="BC53" s="2">
        <f t="shared" si="10"/>
        <v>4333.333333333333</v>
      </c>
      <c r="BD53" s="2" t="e">
        <f>VLOOKUP(A53,[1]Sheet3!$A$2:$D$52,4,0)</f>
        <v>#N/A</v>
      </c>
      <c r="BE53" s="2" t="e">
        <f t="shared" si="11"/>
        <v>#N/A</v>
      </c>
      <c r="BF53" s="2">
        <f t="shared" si="12"/>
        <v>1622.3999999999999</v>
      </c>
      <c r="BG53" s="2" t="e">
        <f t="shared" si="13"/>
        <v>#N/A</v>
      </c>
      <c r="BH53" s="2">
        <f t="shared" si="14"/>
        <v>496.18399999999997</v>
      </c>
      <c r="BI53" s="2">
        <f t="shared" si="15"/>
        <v>1126.2159999999999</v>
      </c>
      <c r="BJ53" s="2" t="e">
        <f t="shared" si="16"/>
        <v>#N/A</v>
      </c>
      <c r="BK53" s="2" t="e">
        <f t="shared" si="17"/>
        <v>#N/A</v>
      </c>
      <c r="BL53" s="2" t="e">
        <f t="shared" si="18"/>
        <v>#N/A</v>
      </c>
      <c r="BM53" s="2">
        <v>0</v>
      </c>
      <c r="BN53" s="2" t="e">
        <f t="shared" si="19"/>
        <v>#N/A</v>
      </c>
    </row>
    <row r="54" spans="1:66" ht="15.75" customHeight="1" x14ac:dyDescent="0.25"/>
    <row r="55" spans="1:66" ht="15.75" customHeight="1" x14ac:dyDescent="0.25"/>
    <row r="56" spans="1:66" ht="15.75" customHeight="1" x14ac:dyDescent="0.25"/>
    <row r="57" spans="1:66" ht="15.75" customHeight="1" x14ac:dyDescent="0.25"/>
    <row r="58" spans="1:66" ht="15.75" customHeight="1" x14ac:dyDescent="0.25"/>
    <row r="59" spans="1:66" ht="15.75" customHeight="1" x14ac:dyDescent="0.25"/>
    <row r="60" spans="1:66" ht="15.75" customHeight="1" x14ac:dyDescent="0.25"/>
    <row r="61" spans="1:66" ht="15.75" customHeight="1" x14ac:dyDescent="0.25"/>
    <row r="62" spans="1:66" ht="15.75" customHeight="1" x14ac:dyDescent="0.25"/>
    <row r="63" spans="1:66" ht="15.75" customHeight="1" x14ac:dyDescent="0.25"/>
    <row r="64" spans="1:6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N4:AQ53">
    <cfRule type="cellIs" dxfId="5" priority="1" operator="equal">
      <formula>"HO"</formula>
    </cfRule>
    <cfRule type="cellIs" dxfId="4" priority="2" operator="equal">
      <formula>"L"</formula>
    </cfRule>
    <cfRule type="cellIs" dxfId="3" priority="3" operator="equal">
      <formula>"A"</formula>
    </cfRule>
    <cfRule type="cellIs" dxfId="2" priority="4" operator="equal">
      <formula>"WO"</formula>
    </cfRule>
    <cfRule type="cellIs" dxfId="1" priority="5" operator="equal">
      <formula>"H"</formula>
    </cfRule>
    <cfRule type="cellIs" dxfId="0" priority="6" operator="equal">
      <formula>"P"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G1000"/>
  <sheetViews>
    <sheetView tabSelected="1" workbookViewId="0">
      <selection activeCell="F15" sqref="F15"/>
    </sheetView>
  </sheetViews>
  <sheetFormatPr defaultColWidth="12.5703125" defaultRowHeight="15" customHeight="1" x14ac:dyDescent="0.25"/>
  <cols>
    <col min="1" max="2" width="8.5703125" customWidth="1"/>
    <col min="3" max="3" width="12.140625" customWidth="1"/>
    <col min="4" max="4" width="17.85546875" customWidth="1"/>
    <col min="5" max="5" width="15.42578125" customWidth="1"/>
    <col min="6" max="6" width="17.42578125" customWidth="1"/>
    <col min="7" max="26" width="8.5703125" customWidth="1"/>
  </cols>
  <sheetData>
    <row r="3" spans="3:7" ht="21" x14ac:dyDescent="0.35">
      <c r="C3" s="31" t="s">
        <v>612</v>
      </c>
      <c r="D3" s="32"/>
      <c r="E3" s="32"/>
      <c r="F3" s="33"/>
    </row>
    <row r="4" spans="3:7" x14ac:dyDescent="0.25">
      <c r="C4" s="34" t="s">
        <v>613</v>
      </c>
      <c r="D4" s="32"/>
      <c r="E4" s="32"/>
      <c r="F4" s="33"/>
    </row>
    <row r="5" spans="3:7" x14ac:dyDescent="0.25">
      <c r="C5" s="10"/>
      <c r="D5" s="10"/>
      <c r="E5" s="10"/>
      <c r="F5" s="10"/>
    </row>
    <row r="6" spans="3:7" x14ac:dyDescent="0.25">
      <c r="C6" s="11" t="s">
        <v>7</v>
      </c>
      <c r="D6" s="12" t="s">
        <v>145</v>
      </c>
      <c r="E6" s="11" t="s">
        <v>614</v>
      </c>
      <c r="F6" s="13" t="str">
        <f>IFERROR(VLOOKUP($D$6,Sheet2!$A$3:$BN$53,10,0),"")</f>
        <v>PUNB0581791</v>
      </c>
      <c r="G6" s="14"/>
    </row>
    <row r="7" spans="3:7" x14ac:dyDescent="0.25">
      <c r="C7" s="15" t="s">
        <v>615</v>
      </c>
      <c r="D7" s="16" t="str">
        <f>IFERROR(VLOOKUP($D$6,Sheet2!$A$3:$BN$53,2,0),"")</f>
        <v>Krishna Das</v>
      </c>
      <c r="E7" s="15" t="s">
        <v>616</v>
      </c>
      <c r="F7" s="17" t="str">
        <f>IFERROR(VLOOKUP($D$6,Sheet2!$A$3:$BN$53,12,0),"")</f>
        <v>MH/3408089</v>
      </c>
    </row>
    <row r="8" spans="3:7" x14ac:dyDescent="0.25">
      <c r="C8" s="15" t="s">
        <v>617</v>
      </c>
      <c r="D8" s="16" t="str">
        <f>IFERROR(VLOOKUP($D$6,Sheet2!$A$3:$BN$53,3,0),"")</f>
        <v>Assistant</v>
      </c>
      <c r="E8" s="15" t="s">
        <v>618</v>
      </c>
      <c r="F8" s="17" t="str">
        <f>IFERROR(VLOOKUP($D$6,Sheet2!$A$3:$BN$53,11,0),"")</f>
        <v>338531694105</v>
      </c>
    </row>
    <row r="9" spans="3:7" x14ac:dyDescent="0.25">
      <c r="C9" s="15" t="s">
        <v>619</v>
      </c>
      <c r="D9" s="16" t="str">
        <f>IFERROR(VLOOKUP($D$6,Sheet2!$A$3:$BN$53,4,0),"")</f>
        <v>Finance</v>
      </c>
      <c r="E9" s="15" t="s">
        <v>620</v>
      </c>
      <c r="F9" s="17" t="str">
        <f>IFERROR(VLOOKUP($D$6,Sheet2!$A$3:$BN$53,13,0),"")</f>
        <v>21363270435774555</v>
      </c>
    </row>
    <row r="10" spans="3:7" x14ac:dyDescent="0.25">
      <c r="C10" s="15" t="s">
        <v>621</v>
      </c>
      <c r="D10" s="16" t="str">
        <f>IFERROR(VLOOKUP($D$6,Sheet2!$A$3:$BN$53,9,0),"")</f>
        <v>TJNVS8878M</v>
      </c>
      <c r="E10" s="15" t="s">
        <v>622</v>
      </c>
      <c r="F10" s="17" t="str">
        <f>IFERROR(VLOOKUP($D$6,Sheet2!$A$3:$BN$53,8,0),"")</f>
        <v>210188000274</v>
      </c>
    </row>
    <row r="11" spans="3:7" x14ac:dyDescent="0.25">
      <c r="C11" s="18" t="s">
        <v>623</v>
      </c>
      <c r="D11" s="19" t="str">
        <f>IFERROR(VLOOKUP($D$6,Sheet2!$A$3:$BN$53,5,0),"")</f>
        <v>30-08-2021</v>
      </c>
      <c r="E11" s="18" t="s">
        <v>624</v>
      </c>
      <c r="F11" s="20">
        <f>IFERROR(VLOOKUP($D$6,Sheet2!$A$3:$BN$53,50,0),"")</f>
        <v>21.5</v>
      </c>
    </row>
    <row r="12" spans="3:7" ht="18.75" x14ac:dyDescent="0.3">
      <c r="C12" s="35" t="s">
        <v>625</v>
      </c>
      <c r="D12" s="36"/>
      <c r="E12" s="36"/>
      <c r="F12" s="37"/>
    </row>
    <row r="13" spans="3:7" x14ac:dyDescent="0.25">
      <c r="C13" s="21" t="s">
        <v>626</v>
      </c>
      <c r="D13" s="22">
        <f>IFERROR(VLOOKUP($D$6,Sheet2!$A$3:$BN$53,52,0),"")</f>
        <v>11466.666666666668</v>
      </c>
      <c r="E13" s="23" t="s">
        <v>34</v>
      </c>
      <c r="F13" s="24">
        <f>IFERROR(VLOOKUP($D$6,Sheet2!$A$3:$BN$53,58,0),"")</f>
        <v>1651.2</v>
      </c>
    </row>
    <row r="14" spans="3:7" x14ac:dyDescent="0.25">
      <c r="C14" s="21" t="s">
        <v>29</v>
      </c>
      <c r="D14" s="22">
        <f>IFERROR(VLOOKUP($D$6,Sheet2!$A$3:$BN$53,53,0),"")</f>
        <v>2293.3333333333335</v>
      </c>
      <c r="E14" s="23" t="s">
        <v>35</v>
      </c>
      <c r="F14" s="25" t="str">
        <f>IFERROR(VLOOKUP($D$6,Sheet2!$A$3:$BN$53,59,0),"")</f>
        <v/>
      </c>
    </row>
    <row r="15" spans="3:7" x14ac:dyDescent="0.25">
      <c r="C15" s="21" t="s">
        <v>30</v>
      </c>
      <c r="D15" s="22">
        <f>IFERROR(VLOOKUP($D$6,Sheet2!$A$3:$BN$53,54,0),"")</f>
        <v>4586.666666666667</v>
      </c>
      <c r="E15" s="23" t="s">
        <v>39</v>
      </c>
      <c r="F15" s="24" t="str">
        <f>IFERROR(VLOOKUP($D$6,Sheet2!$A$3:$BN$53,63,0),"")</f>
        <v/>
      </c>
    </row>
    <row r="16" spans="3:7" x14ac:dyDescent="0.25">
      <c r="C16" s="21" t="s">
        <v>627</v>
      </c>
      <c r="D16" s="22">
        <f>IFERROR(VLOOKUP($D$6,Sheet2!$A$3:$BN$53,55,0),"")</f>
        <v>3583.333333333333</v>
      </c>
      <c r="E16" s="23" t="s">
        <v>40</v>
      </c>
      <c r="F16" s="25" t="str">
        <f>IFERROR(VLOOKUP($D$6,Sheet2!$A$3:$BN$53,64,0),"")</f>
        <v/>
      </c>
    </row>
    <row r="17" spans="3:6" x14ac:dyDescent="0.25">
      <c r="C17" s="21" t="s">
        <v>628</v>
      </c>
      <c r="D17" s="26" t="str">
        <f>IFERROR(VLOOKUP($D$6,Sheet2!$A$3:$BN$53,56,0),"")</f>
        <v/>
      </c>
      <c r="E17" s="23" t="s">
        <v>41</v>
      </c>
      <c r="F17" s="24">
        <f>IFERROR(VLOOKUP($D$6,Sheet2!$A$3:$BN$53,65,0),"")</f>
        <v>0</v>
      </c>
    </row>
    <row r="18" spans="3:6" x14ac:dyDescent="0.25">
      <c r="C18" s="21"/>
      <c r="D18" s="23"/>
      <c r="E18" s="23"/>
      <c r="F18" s="27"/>
    </row>
    <row r="19" spans="3:6" x14ac:dyDescent="0.25">
      <c r="C19" s="21" t="s">
        <v>33</v>
      </c>
      <c r="D19" s="28" t="str">
        <f>IFERROR(VLOOKUP($D$6,Sheet2!$A$3:$BN$53,57,0),"")</f>
        <v/>
      </c>
      <c r="E19" s="23" t="s">
        <v>629</v>
      </c>
      <c r="F19" s="29">
        <f>IF(SUM(F13:F17)=0,"",SUM(F13:F17))</f>
        <v>1651.2</v>
      </c>
    </row>
    <row r="20" spans="3:6" ht="18.75" x14ac:dyDescent="0.3">
      <c r="C20" s="38" t="s">
        <v>42</v>
      </c>
      <c r="D20" s="39"/>
      <c r="E20" s="40"/>
      <c r="F20" s="30" t="str">
        <f>IFERROR(VLOOKUP($D$6,Sheet2!$A$3:$BN$53,66,0),"")</f>
        <v/>
      </c>
    </row>
    <row r="21" spans="3:6" ht="15.75" customHeight="1" x14ac:dyDescent="0.25"/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3:F3"/>
    <mergeCell ref="C4:F4"/>
    <mergeCell ref="C12:F12"/>
    <mergeCell ref="C20:E20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Sheet2!$A$4:$A$53</xm:f>
          </x14:formula1>
          <xm:sqref>D6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Sur</dc:creator>
  <cp:lastModifiedBy>Soumyajeet Sur</cp:lastModifiedBy>
  <dcterms:created xsi:type="dcterms:W3CDTF">2025-10-25T18:19:55Z</dcterms:created>
  <dcterms:modified xsi:type="dcterms:W3CDTF">2025-12-05T09:40:31Z</dcterms:modified>
</cp:coreProperties>
</file>